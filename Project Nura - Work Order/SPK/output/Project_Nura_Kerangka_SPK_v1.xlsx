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01 ADMIN_ORDER" sheetId="2" state="visible" r:id="rId4"/>
    <sheet name="02 SIZE_RUN" sheetId="3" state="visible" r:id="rId5"/>
    <sheet name="03 KARTU_OPERATOR" sheetId="4" state="visible" r:id="rId6"/>
    <sheet name="04 KESIAPAN" sheetId="5" state="visible" r:id="rId7"/>
    <sheet name="05 AKTUAL" sheetId="6" state="visible" r:id="rId8"/>
    <sheet name="06 KONFIRMASI" sheetId="7" state="visible" r:id="rId9"/>
    <sheet name="07 SUMBER_ORDER" sheetId="8" state="visible" r:id="rId10"/>
    <sheet name="08 KAMUS" sheetId="9" state="visible" r:id="rId11"/>
  </sheets>
  <definedNames>
    <definedName function="false" hidden="false" localSheetId="1" name="_xlnm.Print_Titles" vbProcedure="false">'01 ADMIN_ORDER'!$1:$1</definedName>
    <definedName function="false" hidden="false" localSheetId="2" name="_xlnm.Print_Titles" vbProcedure="false">'02 SIZE_RUN'!$1:$1</definedName>
    <definedName function="false" hidden="false" localSheetId="3" name="_xlnm.Print_Area" vbProcedure="false">'03 KARTU_OPERATOR'!$A$1:$H$2242</definedName>
    <definedName function="false" hidden="false" localSheetId="4" name="_xlnm.Print_Titles" vbProcedure="false">'04 KESIAPAN'!$1:$1</definedName>
    <definedName function="false" hidden="false" localSheetId="5" name="_xlnm.Print_Titles" vbProcedure="false">'05 AKTUAL'!$1:$1</definedName>
    <definedName function="false" hidden="false" localSheetId="6" name="_xlnm.Print_Titles" vbProcedure="false">'06 KONFIRMASI'!$1:$1</definedName>
    <definedName function="false" hidden="false" localSheetId="7" name="_xlnm.Print_Titles" vbProcedure="false">'07 SUMBER_ORDER'!$1:$1</definedName>
    <definedName function="false" hidden="true" localSheetId="8" name="_xlnm._FilterDatabase" vbProcedure="false">'08 KAMUS'!$A$1:$B$18</definedName>
    <definedName function="false" hidden="true" localSheetId="0" name="_xlnm._FilterDatabase" vbProcedure="false">MULAI!$A$1:$B$18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<sst xmlns="http://schemas.openxmlformats.org/spreadsheetml/2006/main" count="5332" uniqueCount="470">
  <si>
    <t xml:space="preserve">Bagian</t>
  </si>
  <si>
    <t xml:space="preserve">Petunjuk</t>
  </si>
  <si>
    <t xml:space="preserve">PROJECT NURA</t>
  </si>
  <si>
    <t xml:space="preserve">Kerangka data Work Order / SPK upper — versi penataan ulang, bukan release produksi.</t>
  </si>
  <si>
    <t xml:space="preserve">Status seluruh order</t>
  </si>
  <si>
    <t xml:space="preserve">DRAFT - PERLU VERIFIKASI. Kuantitas cocok; tanggal, UOM, ukuran, spesifikasi dan approval belum lengkap.</t>
  </si>
  <si>
    <t xml:space="preserve">01 ADMIN_ORDER</t>
  </si>
  <si>
    <t xml:space="preserve">Satu baris per order. Filter berdasarkan build, artikel, tujuan atau status. Kolom kuning diisi setelah diverifikasi.</t>
  </si>
  <si>
    <t xml:space="preserve">02 SIZE_RUN</t>
  </si>
  <si>
    <t xml:space="preserve">Satu baris per order; 29 ukuran sumber dipertahankan. Total ukuran mencakup SEMUA kolom ukuran.</t>
  </si>
  <si>
    <t xml:space="preserve">03 KARTU_OPERATOR</t>
  </si>
  <si>
    <t xml:space="preserve">59 kartu, masing-masing satu halaman cetak A4. Bagian atas menampilkan status; target upper belum diisi, jadwal assembling hanya referensi.</t>
  </si>
  <si>
    <t xml:space="preserve">04 KESIAPAN</t>
  </si>
  <si>
    <t xml:space="preserve">Isian admin untuk unit, sistem ukuran, BOM, tech pack, batch dan otorisasi. Tidak ada persetujuan yang diasumsikan.</t>
  </si>
  <si>
    <t xml:space="preserve">05 AKTUAL</t>
  </si>
  <si>
    <t xml:space="preserve">Template pencatatan hasil produksi per transaksi/bundle. Tambahkan baris baru untuk transaksi berikutnya; jangan menimpa riwayat.</t>
  </si>
  <si>
    <t xml:space="preserve">06 KONFIRMASI</t>
  </si>
  <si>
    <t xml:space="preserve">Daftar konflik/istilah yang harus dijelaskan dan diputuskan oleh pihak berwenang.</t>
  </si>
  <si>
    <t xml:space="preserve">07 SUMBER_ORDER</t>
  </si>
  <si>
    <t xml:space="preserve">Nilai asli dari dua sheet untuk penelusuran, termasuk tanggal Juli. Bukan instruksi kerja aktif.</t>
  </si>
  <si>
    <t xml:space="preserve">08 KAMUS</t>
  </si>
  <si>
    <t xml:space="preserve">Arti kolom dan aturan pengisian. Istilah yang belum jelas tetap ditandai perlu konfirmasi.</t>
  </si>
  <si>
    <t xml:space="preserve">Warna</t>
  </si>
  <si>
    <t xml:space="preserve">Biru: data sumber / hasil hitung; kuning: isian verifikasi admin; merah muda: masalah / status draft. Warna selalu disertai label.</t>
  </si>
  <si>
    <t xml:space="preserve">Urutan penggunaan</t>
  </si>
  <si>
    <t xml:space="preserve">Admin cek sumber → lengkapi kesiapan → selesaikan konflik → tetapkan jadwal upper dan approval melalui SOP perusahaan → cetak kartu operator.</t>
  </si>
  <si>
    <t xml:space="preserve">Tanggal</t>
  </si>
  <si>
    <t xml:space="preserve">Material dan assembling dari SEP dipertahankan sebagai rencana sumber. Tanggal CRD/LPD Juli tidak dipakai sebagai target upper.</t>
  </si>
  <si>
    <t xml:space="preserve">Ukuran dan kuantitas</t>
  </si>
  <si>
    <t xml:space="preserve">Label 8- tetap 8-. Tidak dikonversi menjadi 8.5. Total 34.741 belum dilabeli pasang karena UOM belum diverifikasi.</t>
  </si>
  <si>
    <t xml:space="preserve">Rumus Excel</t>
  </si>
  <si>
    <t xml:space="preserve">Buka dengan Excel/LibreOffice dan hitung ulang. Hasil formula pada berkas ini belum memiliki cache; hitung independen telah memvalidasi kuantitas.</t>
  </si>
  <si>
    <t xml:space="preserve">Perubahan</t>
  </si>
  <si>
    <t xml:space="preserve">File asli tidak diubah. Formula PO subkontrak =15807-36 tidak diubah menjadi nomor PO tebakan. Semua output tetap DRAFT.</t>
  </si>
  <si>
    <t xml:space="preserve">Pengeditan</t>
  </si>
  <si>
    <t xml:space="preserve">Master admin/size merupakan sumber kartu. Kartu operator berformula: jangan ditimpa manual. Tambahan order baru memerlukan penambahan kartu dan formula terkait.</t>
  </si>
  <si>
    <t xml:space="preserve">No SPK sumber</t>
  </si>
  <si>
    <t xml:space="preserve">Build sumber</t>
  </si>
  <si>
    <t xml:space="preserve">Model</t>
  </si>
  <si>
    <t xml:space="preserve">Artikel</t>
  </si>
  <si>
    <t xml:space="preserve">PO sumber (teks)</t>
  </si>
  <si>
    <t xml:space="preserve">Penanda FGT</t>
  </si>
  <si>
    <t xml:space="preserve">Tujuan / channel sumber</t>
  </si>
  <si>
    <t xml:space="preserve">Qty order (UOM belum pasti)</t>
  </si>
  <si>
    <t xml:space="preserve">Total size (hitung)</t>
  </si>
  <si>
    <t xml:space="preserve">Selisih size-order</t>
  </si>
  <si>
    <t xml:space="preserve">Rencana kirim material (SEP)</t>
  </si>
  <si>
    <t xml:space="preserve">Rencana assembly mulai (SEP)</t>
  </si>
  <si>
    <t xml:space="preserve">Rencana assembly selesai (SEP)</t>
  </si>
  <si>
    <t xml:space="preserve">PODD sumber (definisi belum pasti)</t>
  </si>
  <si>
    <t xml:space="preserve">Target mulai UPPER [ISI]</t>
  </si>
  <si>
    <t xml:space="preserve">Target selesai UPPER [ISI]</t>
  </si>
  <si>
    <t xml:space="preserve">Status dokumen</t>
  </si>
  <si>
    <t xml:space="preserve">Catatan verifikasi</t>
  </si>
  <si>
    <t xml:space="preserve">137/10/1 (59)</t>
  </si>
  <si>
    <t xml:space="preserve">A-19</t>
  </si>
  <si>
    <t xml:space="preserve">FRONTCOURT LOW</t>
  </si>
  <si>
    <t xml:space="preserve">LA6616</t>
  </si>
  <si>
    <t xml:space="preserve">903285985</t>
  </si>
  <si>
    <t xml:space="preserve">Tidak bertanda</t>
  </si>
  <si>
    <t xml:space="preserve">Morocco</t>
  </si>
  <si>
    <t xml:space="preserve">EARTH STRATA/OFF WHITE/DARK BROWN</t>
  </si>
  <si>
    <t xml:space="preserve">DRAFT - PERLU VERIFIKASI</t>
  </si>
  <si>
    <t xml:space="preserve">Tanggal detail Juli konflik; UOM/size/spec/approval belum diverifikasi.</t>
  </si>
  <si>
    <t xml:space="preserve">138/10/2 (59)</t>
  </si>
  <si>
    <t xml:space="preserve">903285985 (FGT)</t>
  </si>
  <si>
    <t xml:space="preserve">FGT</t>
  </si>
  <si>
    <t xml:space="preserve">139/10/3 (59)</t>
  </si>
  <si>
    <t xml:space="preserve">903424679</t>
  </si>
  <si>
    <t xml:space="preserve">Germany</t>
  </si>
  <si>
    <t xml:space="preserve">140/10/4 (59)</t>
  </si>
  <si>
    <t xml:space="preserve">903424725</t>
  </si>
  <si>
    <t xml:space="preserve">141/10/5 (59)</t>
  </si>
  <si>
    <t xml:space="preserve">LA6617</t>
  </si>
  <si>
    <t xml:space="preserve">903271565</t>
  </si>
  <si>
    <t xml:space="preserve">OLIVE TWO/OFF WHITE/OLIVE THREE</t>
  </si>
  <si>
    <t xml:space="preserve">142/10/6 (59)</t>
  </si>
  <si>
    <t xml:space="preserve">903271565 (FGT)</t>
  </si>
  <si>
    <t xml:space="preserve">143/10/7 (59)</t>
  </si>
  <si>
    <t xml:space="preserve">903079277</t>
  </si>
  <si>
    <t xml:space="preserve">USA</t>
  </si>
  <si>
    <t xml:space="preserve">144/10/8 (59)</t>
  </si>
  <si>
    <t xml:space="preserve">LA6606</t>
  </si>
  <si>
    <t xml:space="preserve">903279874</t>
  </si>
  <si>
    <t xml:space="preserve">Peru</t>
  </si>
  <si>
    <t xml:space="preserve">CORE BLACK/CORE BLACK/GREY FIVE</t>
  </si>
  <si>
    <t xml:space="preserve">145/10/9 (59)</t>
  </si>
  <si>
    <t xml:space="preserve">903279874 (FGT)</t>
  </si>
  <si>
    <t xml:space="preserve">146/10/10 (59)</t>
  </si>
  <si>
    <t xml:space="preserve">903284277</t>
  </si>
  <si>
    <t xml:space="preserve">Germany (Zalando)</t>
  </si>
  <si>
    <t xml:space="preserve">147/10/11 (59)</t>
  </si>
  <si>
    <t xml:space="preserve">LA6604</t>
  </si>
  <si>
    <t xml:space="preserve">903410228</t>
  </si>
  <si>
    <t xml:space="preserve">Israel</t>
  </si>
  <si>
    <t xml:space="preserve">CORE BLACK/FTWR WHITE/CORE BLACK</t>
  </si>
  <si>
    <t xml:space="preserve">148/10/12 (59)</t>
  </si>
  <si>
    <t xml:space="preserve">903410228 (FGT)</t>
  </si>
  <si>
    <t xml:space="preserve">149/10/13 (59)</t>
  </si>
  <si>
    <t xml:space="preserve">903494092</t>
  </si>
  <si>
    <t xml:space="preserve">Italy</t>
  </si>
  <si>
    <t xml:space="preserve">150/10/14 (59)</t>
  </si>
  <si>
    <t xml:space="preserve">903413429</t>
  </si>
  <si>
    <t xml:space="preserve">Italy (Zalando)</t>
  </si>
  <si>
    <t xml:space="preserve">151/10/15 (59)</t>
  </si>
  <si>
    <t xml:space="preserve">903276916</t>
  </si>
  <si>
    <t xml:space="preserve">152/10/16 (59)</t>
  </si>
  <si>
    <t xml:space="preserve">903417796</t>
  </si>
  <si>
    <t xml:space="preserve">153/10/17 (59)</t>
  </si>
  <si>
    <t xml:space="preserve">903271746</t>
  </si>
  <si>
    <t xml:space="preserve">154/10/18 (59)</t>
  </si>
  <si>
    <t xml:space="preserve">903276934</t>
  </si>
  <si>
    <t xml:space="preserve">155/10/19 (59)</t>
  </si>
  <si>
    <t xml:space="preserve">903394877</t>
  </si>
  <si>
    <t xml:space="preserve">156/10/20 (59)</t>
  </si>
  <si>
    <t xml:space="preserve">903416453</t>
  </si>
  <si>
    <t xml:space="preserve">Turkey</t>
  </si>
  <si>
    <t xml:space="preserve">157/10/21 (59)</t>
  </si>
  <si>
    <t xml:space="preserve">903418964</t>
  </si>
  <si>
    <t xml:space="preserve">158/10/22 (59)</t>
  </si>
  <si>
    <t xml:space="preserve">903513754</t>
  </si>
  <si>
    <t xml:space="preserve">159/10/23 (59)</t>
  </si>
  <si>
    <t xml:space="preserve">903280184</t>
  </si>
  <si>
    <t xml:space="preserve">Ukraine</t>
  </si>
  <si>
    <t xml:space="preserve">160/10/24 (59)</t>
  </si>
  <si>
    <t xml:space="preserve">903288383</t>
  </si>
  <si>
    <t xml:space="preserve">Utd.Arab Emir.</t>
  </si>
  <si>
    <t xml:space="preserve">161/10/25 (59)</t>
  </si>
  <si>
    <t xml:space="preserve">KH5441</t>
  </si>
  <si>
    <t xml:space="preserve">903408983</t>
  </si>
  <si>
    <t xml:space="preserve">United Kingdom</t>
  </si>
  <si>
    <t xml:space="preserve">FTWR WHITE/CORE BLACK/CORE BLACK</t>
  </si>
  <si>
    <t xml:space="preserve">162/10/26 (59)</t>
  </si>
  <si>
    <t xml:space="preserve">903408983 (FGT)</t>
  </si>
  <si>
    <t xml:space="preserve">163/10/27 (59)</t>
  </si>
  <si>
    <t xml:space="preserve">903417921</t>
  </si>
  <si>
    <t xml:space="preserve">164/10/28 (59)</t>
  </si>
  <si>
    <t xml:space="preserve">903273886</t>
  </si>
  <si>
    <t xml:space="preserve">165/10/29 (59)</t>
  </si>
  <si>
    <t xml:space="preserve">903414644</t>
  </si>
  <si>
    <t xml:space="preserve">166/10/30 (59)</t>
  </si>
  <si>
    <t xml:space="preserve">903408939</t>
  </si>
  <si>
    <t xml:space="preserve">167/10/31 (59)</t>
  </si>
  <si>
    <t xml:space="preserve">903394951</t>
  </si>
  <si>
    <t xml:space="preserve">168/10/32 (59)</t>
  </si>
  <si>
    <t xml:space="preserve">903412031</t>
  </si>
  <si>
    <t xml:space="preserve">169/10/33 (59)</t>
  </si>
  <si>
    <t xml:space="preserve">903403418</t>
  </si>
  <si>
    <t xml:space="preserve">170/10/34 (59)</t>
  </si>
  <si>
    <t xml:space="preserve">903277029</t>
  </si>
  <si>
    <t xml:space="preserve">171/10/35 (59)</t>
  </si>
  <si>
    <t xml:space="preserve">903417865</t>
  </si>
  <si>
    <t xml:space="preserve">172/10/36 (59)</t>
  </si>
  <si>
    <t xml:space="preserve">B-19</t>
  </si>
  <si>
    <t xml:space="preserve">LA6615</t>
  </si>
  <si>
    <t xml:space="preserve">903399221</t>
  </si>
  <si>
    <t xml:space="preserve">Brazil</t>
  </si>
  <si>
    <t xml:space="preserve">FTWR WHITE/CORE BLACK/GREY ONE</t>
  </si>
  <si>
    <t xml:space="preserve">173/10/37 (59)</t>
  </si>
  <si>
    <t xml:space="preserve">903410761</t>
  </si>
  <si>
    <t xml:space="preserve">Chile</t>
  </si>
  <si>
    <t xml:space="preserve">174/10/38 (59)</t>
  </si>
  <si>
    <t xml:space="preserve">903409848</t>
  </si>
  <si>
    <t xml:space="preserve">175/10/39 (59)</t>
  </si>
  <si>
    <t xml:space="preserve">LA6607</t>
  </si>
  <si>
    <t xml:space="preserve">903153457</t>
  </si>
  <si>
    <t xml:space="preserve">FTWR WHITE/FTWR WHITE/GREY TWO</t>
  </si>
  <si>
    <t xml:space="preserve">176/10/40 (59)</t>
  </si>
  <si>
    <t xml:space="preserve">903153502</t>
  </si>
  <si>
    <t xml:space="preserve">177/10/41 (59)</t>
  </si>
  <si>
    <t xml:space="preserve">903410013</t>
  </si>
  <si>
    <t xml:space="preserve">178/10/42 (59)</t>
  </si>
  <si>
    <t xml:space="preserve">LA6614</t>
  </si>
  <si>
    <t xml:space="preserve">903409634</t>
  </si>
  <si>
    <t xml:space="preserve">Colombia</t>
  </si>
  <si>
    <t xml:space="preserve">CORE BLACK/FTWR WHITE/GUM M2</t>
  </si>
  <si>
    <t xml:space="preserve">179/10/43 (59)</t>
  </si>
  <si>
    <t xml:space="preserve">903390412</t>
  </si>
  <si>
    <t xml:space="preserve">Argentina</t>
  </si>
  <si>
    <t xml:space="preserve">180/10/44 (59)</t>
  </si>
  <si>
    <t xml:space="preserve">903410918</t>
  </si>
  <si>
    <t xml:space="preserve">181/10/45 (59)</t>
  </si>
  <si>
    <t xml:space="preserve">903409889</t>
  </si>
  <si>
    <t xml:space="preserve">182/10/46 (59)</t>
  </si>
  <si>
    <t xml:space="preserve">903399168</t>
  </si>
  <si>
    <t xml:space="preserve">183/10/47 (59)</t>
  </si>
  <si>
    <t xml:space="preserve">903150550</t>
  </si>
  <si>
    <t xml:space="preserve">Spain</t>
  </si>
  <si>
    <t xml:space="preserve">184/10/48 (59)</t>
  </si>
  <si>
    <t xml:space="preserve">903150550 (FGT)</t>
  </si>
  <si>
    <t xml:space="preserve">185/10/49 (59)</t>
  </si>
  <si>
    <t xml:space="preserve">903150578</t>
  </si>
  <si>
    <t xml:space="preserve">186/10/50 (59)</t>
  </si>
  <si>
    <t xml:space="preserve">4502069764-3</t>
  </si>
  <si>
    <t xml:space="preserve">South Africa</t>
  </si>
  <si>
    <t xml:space="preserve">187/10/51 (59)</t>
  </si>
  <si>
    <t xml:space="preserve">903276839</t>
  </si>
  <si>
    <t xml:space="preserve">188/10/52 (59)</t>
  </si>
  <si>
    <t xml:space="preserve">903145060</t>
  </si>
  <si>
    <t xml:space="preserve">189/10/53 (59)</t>
  </si>
  <si>
    <t xml:space="preserve">903288515</t>
  </si>
  <si>
    <t xml:space="preserve">190/10/54 (59)</t>
  </si>
  <si>
    <t xml:space="preserve">903267750</t>
  </si>
  <si>
    <t xml:space="preserve">191/10/55 (59)</t>
  </si>
  <si>
    <t xml:space="preserve">903513830</t>
  </si>
  <si>
    <t xml:space="preserve">192/10/56 (59)</t>
  </si>
  <si>
    <t xml:space="preserve">903513830 (FGT)</t>
  </si>
  <si>
    <t xml:space="preserve">193/10/57 (59)</t>
  </si>
  <si>
    <t xml:space="preserve">903513902</t>
  </si>
  <si>
    <t xml:space="preserve">194/10/58 (59)</t>
  </si>
  <si>
    <t xml:space="preserve">903500993</t>
  </si>
  <si>
    <t xml:space="preserve">195/10/59 (59)</t>
  </si>
  <si>
    <t xml:space="preserve">903500993 (FGT)</t>
  </si>
  <si>
    <t xml:space="preserve">Qty order</t>
  </si>
  <si>
    <t xml:space="preserve">3</t>
  </si>
  <si>
    <t xml:space="preserve">3-</t>
  </si>
  <si>
    <t xml:space="preserve">4</t>
  </si>
  <si>
    <t xml:space="preserve">4-</t>
  </si>
  <si>
    <t xml:space="preserve">5</t>
  </si>
  <si>
    <t xml:space="preserve">5-</t>
  </si>
  <si>
    <t xml:space="preserve">6</t>
  </si>
  <si>
    <t xml:space="preserve">6-</t>
  </si>
  <si>
    <t xml:space="preserve">7</t>
  </si>
  <si>
    <t xml:space="preserve">7-</t>
  </si>
  <si>
    <t xml:space="preserve">8</t>
  </si>
  <si>
    <t xml:space="preserve">8-</t>
  </si>
  <si>
    <t xml:space="preserve">9</t>
  </si>
  <si>
    <t xml:space="preserve">9-</t>
  </si>
  <si>
    <t xml:space="preserve">10</t>
  </si>
  <si>
    <t xml:space="preserve">10-</t>
  </si>
  <si>
    <t xml:space="preserve">11</t>
  </si>
  <si>
    <t xml:space="preserve">11-</t>
  </si>
  <si>
    <t xml:space="preserve">12</t>
  </si>
  <si>
    <t xml:space="preserve">12-</t>
  </si>
  <si>
    <t xml:space="preserve">13</t>
  </si>
  <si>
    <t xml:space="preserve">13-</t>
  </si>
  <si>
    <t xml:space="preserve">14</t>
  </si>
  <si>
    <t xml:space="preserve">14-</t>
  </si>
  <si>
    <t xml:space="preserve">15</t>
  </si>
  <si>
    <t xml:space="preserve">15-</t>
  </si>
  <si>
    <t xml:space="preserve">16</t>
  </si>
  <si>
    <t xml:space="preserve">17</t>
  </si>
  <si>
    <t xml:space="preserve">18</t>
  </si>
  <si>
    <t xml:space="preserve">Total semua size</t>
  </si>
  <si>
    <t xml:space="preserve">Selisih</t>
  </si>
  <si>
    <t xml:space="preserve">Hasil cek</t>
  </si>
  <si>
    <t xml:space="preserve">PROJECT NURA — KARTU KERJA UPPER</t>
  </si>
  <si>
    <t xml:space="preserve">Belum untuk instruksi produksi sampai data dan otorisasi diverifikasi.</t>
  </si>
  <si>
    <t xml:space="preserve">NO SPK</t>
  </si>
  <si>
    <t xml:space="preserve">MODEL / ARTIKEL</t>
  </si>
  <si>
    <t xml:space="preserve">PO SUMBER</t>
  </si>
  <si>
    <t xml:space="preserve">WARNA</t>
  </si>
  <si>
    <t xml:space="preserve">BUILD / TUJUAN</t>
  </si>
  <si>
    <t xml:space="preserve">QTY / UOM</t>
  </si>
  <si>
    <t xml:space="preserve">DISTRIBUSI UKURAN — label sumber; qty nol = tidak ada alokasi pada sumber</t>
  </si>
  <si>
    <t xml:space="preserve">TARGET MULAI UPPER</t>
  </si>
  <si>
    <t xml:space="preserve">TARGET SELESAI UPPER</t>
  </si>
  <si>
    <t xml:space="preserve">BATCH / LOT</t>
  </si>
  <si>
    <t xml:space="preserve">BOM / REVISI</t>
  </si>
  <si>
    <t xml:space="preserve">TECH PACK / PATTERN</t>
  </si>
  <si>
    <t xml:space="preserve">ROUTING / INSTRUKSI</t>
  </si>
  <si>
    <t xml:space="preserve">QC / ACCEPTANCE</t>
  </si>
  <si>
    <t xml:space="preserve">PIC PRODUKSI</t>
  </si>
  <si>
    <t xml:space="preserve">DISETUJUI OLEH</t>
  </si>
  <si>
    <t xml:space="preserve">CATATAN PELAKSANAAN / SERAH TERIMA (isi mengikuti SOP)</t>
  </si>
  <si>
    <t xml:space="preserve">Operator: __________________</t>
  </si>
  <si>
    <t xml:space="preserve">QC / Penerima: ________________</t>
  </si>
  <si>
    <t xml:space="preserve">Referensi detail sumber: SEPT SPK baris 6 | Catat aktual per transaksi pada 05 AKTUAL.</t>
  </si>
  <si>
    <t xml:space="preserve">Referensi detail sumber: SEPT SPK baris 14 | Catat aktual per transaksi pada 05 AKTUAL.</t>
  </si>
  <si>
    <t xml:space="preserve">Referensi detail sumber: SEPT SPK baris 19 | Catat aktual per transaksi pada 05 AKTUAL.</t>
  </si>
  <si>
    <t xml:space="preserve">Referensi detail sumber: SEPT SPK baris 26 | Catat aktual per transaksi pada 05 AKTUAL.</t>
  </si>
  <si>
    <t xml:space="preserve">Referensi detail sumber: SEPT SPK baris 31 | Catat aktual per transaksi pada 05 AKTUAL.</t>
  </si>
  <si>
    <t xml:space="preserve">Referensi detail sumber: SEPT SPK baris 36 | Catat aktual per transaksi pada 05 AKTUAL.</t>
  </si>
  <si>
    <t xml:space="preserve">Referensi detail sumber: SEPT SPK baris 41 | Catat aktual per transaksi pada 05 AKTUAL.</t>
  </si>
  <si>
    <t xml:space="preserve">Referensi detail sumber: SEPT SPK baris 46 | Catat aktual per transaksi pada 05 AKTUAL.</t>
  </si>
  <si>
    <t xml:space="preserve">Referensi detail sumber: SEPT SPK baris 51 | Catat aktual per transaksi pada 05 AKTUAL.</t>
  </si>
  <si>
    <t xml:space="preserve">Referensi detail sumber: SEPT SPK baris 56 | Catat aktual per transaksi pada 05 AKTUAL.</t>
  </si>
  <si>
    <t xml:space="preserve">Referensi detail sumber: SEPT SPK baris 63 | Catat aktual per transaksi pada 05 AKTUAL.</t>
  </si>
  <si>
    <t xml:space="preserve">Referensi detail sumber: SEPT SPK baris 71 | Catat aktual per transaksi pada 05 AKTUAL.</t>
  </si>
  <si>
    <t xml:space="preserve">Referensi detail sumber: SEPT SPK baris 76 | Catat aktual per transaksi pada 05 AKTUAL.</t>
  </si>
  <si>
    <t xml:space="preserve">Referensi detail sumber: SEPT SPK baris 81 | Catat aktual per transaksi pada 05 AKTUAL.</t>
  </si>
  <si>
    <t xml:space="preserve">Referensi detail sumber: SEPT SPK baris 86 | Catat aktual per transaksi pada 05 AKTUAL.</t>
  </si>
  <si>
    <t xml:space="preserve">Referensi detail sumber: SEPT SPK baris 91 | Catat aktual per transaksi pada 05 AKTUAL.</t>
  </si>
  <si>
    <t xml:space="preserve">Referensi detail sumber: SEPT SPK baris 96 | Catat aktual per transaksi pada 05 AKTUAL.</t>
  </si>
  <si>
    <t xml:space="preserve">Referensi detail sumber: SEPT SPK baris 101 | Catat aktual per transaksi pada 05 AKTUAL.</t>
  </si>
  <si>
    <t xml:space="preserve">Referensi detail sumber: SEPT SPK baris 106 | Catat aktual per transaksi pada 05 AKTUAL.</t>
  </si>
  <si>
    <t xml:space="preserve">Referensi detail sumber: SEPT SPK baris 111 | Catat aktual per transaksi pada 05 AKTUAL.</t>
  </si>
  <si>
    <t xml:space="preserve">Referensi detail sumber: SEPT SPK baris 116 | Catat aktual per transaksi pada 05 AKTUAL.</t>
  </si>
  <si>
    <t xml:space="preserve">Referensi detail sumber: SEPT SPK baris 121 | Catat aktual per transaksi pada 05 AKTUAL.</t>
  </si>
  <si>
    <t xml:space="preserve">Referensi detail sumber: SEPT SPK baris 126 | Catat aktual per transaksi pada 05 AKTUAL.</t>
  </si>
  <si>
    <t xml:space="preserve">Referensi detail sumber: SEPT SPK baris 131 | Catat aktual per transaksi pada 05 AKTUAL.</t>
  </si>
  <si>
    <t xml:space="preserve">Referensi detail sumber: SEPT SPK baris 136 | Catat aktual per transaksi pada 05 AKTUAL.</t>
  </si>
  <si>
    <t xml:space="preserve">Referensi detail sumber: SEPT SPK baris 141 | Catat aktual per transaksi pada 05 AKTUAL.</t>
  </si>
  <si>
    <t xml:space="preserve">Referensi detail sumber: SEPT SPK baris 146 | Catat aktual per transaksi pada 05 AKTUAL.</t>
  </si>
  <si>
    <t xml:space="preserve">Referensi detail sumber: SEPT SPK baris 151 | Catat aktual per transaksi pada 05 AKTUAL.</t>
  </si>
  <si>
    <t xml:space="preserve">Referensi detail sumber: SEPT SPK baris 156 | Catat aktual per transaksi pada 05 AKTUAL.</t>
  </si>
  <si>
    <t xml:space="preserve">Referensi detail sumber: SEPT SPK baris 161 | Catat aktual per transaksi pada 05 AKTUAL.</t>
  </si>
  <si>
    <t xml:space="preserve">Referensi detail sumber: SEPT SPK baris 166 | Catat aktual per transaksi pada 05 AKTUAL.</t>
  </si>
  <si>
    <t xml:space="preserve">Referensi detail sumber: SEPT SPK baris 171 | Catat aktual per transaksi pada 05 AKTUAL.</t>
  </si>
  <si>
    <t xml:space="preserve">Referensi detail sumber: SEPT SPK baris 176 | Catat aktual per transaksi pada 05 AKTUAL.</t>
  </si>
  <si>
    <t xml:space="preserve">Referensi detail sumber: SEPT SPK baris 181 | Catat aktual per transaksi pada 05 AKTUAL.</t>
  </si>
  <si>
    <t xml:space="preserve">Referensi detail sumber: SEPT SPK baris 186 | Catat aktual per transaksi pada 05 AKTUAL.</t>
  </si>
  <si>
    <t xml:space="preserve">Referensi detail sumber: SEPT SPK baris 191 | Catat aktual per transaksi pada 05 AKTUAL.</t>
  </si>
  <si>
    <t xml:space="preserve">Referensi detail sumber: SEPT SPK baris 196 | Catat aktual per transaksi pada 05 AKTUAL.</t>
  </si>
  <si>
    <t xml:space="preserve">Referensi detail sumber: SEPT SPK baris 201 | Catat aktual per transaksi pada 05 AKTUAL.</t>
  </si>
  <si>
    <t xml:space="preserve">Referensi detail sumber: SEPT SPK baris 206 | Catat aktual per transaksi pada 05 AKTUAL.</t>
  </si>
  <si>
    <t xml:space="preserve">Referensi detail sumber: SEPT SPK baris 211 | Catat aktual per transaksi pada 05 AKTUAL.</t>
  </si>
  <si>
    <t xml:space="preserve">Referensi detail sumber: SEPT SPK baris 216 | Catat aktual per transaksi pada 05 AKTUAL.</t>
  </si>
  <si>
    <t xml:space="preserve">Referensi detail sumber: SEPT SPK baris 221 | Catat aktual per transaksi pada 05 AKTUAL.</t>
  </si>
  <si>
    <t xml:space="preserve">Referensi detail sumber: SEPT SPK baris 226 | Catat aktual per transaksi pada 05 AKTUAL.</t>
  </si>
  <si>
    <t xml:space="preserve">Referensi detail sumber: SEPT SPK baris 233 | Catat aktual per transaksi pada 05 AKTUAL.</t>
  </si>
  <si>
    <t xml:space="preserve">Referensi detail sumber: SEPT SPK baris 238 | Catat aktual per transaksi pada 05 AKTUAL.</t>
  </si>
  <si>
    <t xml:space="preserve">Referensi detail sumber: SEPT SPK baris 243 | Catat aktual per transaksi pada 05 AKTUAL.</t>
  </si>
  <si>
    <t xml:space="preserve">Referensi detail sumber: SEPT SPK baris 248 | Catat aktual per transaksi pada 05 AKTUAL.</t>
  </si>
  <si>
    <t xml:space="preserve">Referensi detail sumber: SEPT SPK baris 253 | Catat aktual per transaksi pada 05 AKTUAL.</t>
  </si>
  <si>
    <t xml:space="preserve">Referensi detail sumber: SEPT SPK baris 258 | Catat aktual per transaksi pada 05 AKTUAL.</t>
  </si>
  <si>
    <t xml:space="preserve">Referensi detail sumber: SEPT SPK baris 263 | Catat aktual per transaksi pada 05 AKTUAL.</t>
  </si>
  <si>
    <t xml:space="preserve">Referensi detail sumber: SEPT SPK baris 268 | Catat aktual per transaksi pada 05 AKTUAL.</t>
  </si>
  <si>
    <t xml:space="preserve">Referensi detail sumber: SEPT SPK baris 273 | Catat aktual per transaksi pada 05 AKTUAL.</t>
  </si>
  <si>
    <t xml:space="preserve">Referensi detail sumber: SEPT SPK baris 278 | Catat aktual per transaksi pada 05 AKTUAL.</t>
  </si>
  <si>
    <t xml:space="preserve">Referensi detail sumber: SEPT SPK baris 283 | Catat aktual per transaksi pada 05 AKTUAL.</t>
  </si>
  <si>
    <t xml:space="preserve">Referensi detail sumber: SEPT SPK baris 288 | Catat aktual per transaksi pada 05 AKTUAL.</t>
  </si>
  <si>
    <t xml:space="preserve">Referensi detail sumber: SEPT SPK baris 293 | Catat aktual per transaksi pada 05 AKTUAL.</t>
  </si>
  <si>
    <t xml:space="preserve">Referensi detail sumber: SEPT SPK baris 298 | Catat aktual per transaksi pada 05 AKTUAL.</t>
  </si>
  <si>
    <t xml:space="preserve">Referensi detail sumber: SEPT SPK baris 303 | Catat aktual per transaksi pada 05 AKTUAL.</t>
  </si>
  <si>
    <t xml:space="preserve">Referensi detail sumber: SEPT SPK baris 308 | Catat aktual per transaksi pada 05 AKTUAL.</t>
  </si>
  <si>
    <t xml:space="preserve">UOM [ISI]</t>
  </si>
  <si>
    <t xml:space="preserve">Sistem ukuran [ISI]</t>
  </si>
  <si>
    <t xml:space="preserve">Arti tanda - [ISI]</t>
  </si>
  <si>
    <t xml:space="preserve">Jenis pekerjaan / lingkup [ISI]</t>
  </si>
  <si>
    <t xml:space="preserve">PO subkontrak terverifikasi [ISI]</t>
  </si>
  <si>
    <t xml:space="preserve">Batch / lot [ISI]</t>
  </si>
  <si>
    <t xml:space="preserve">BOM + revisi [ISI]</t>
  </si>
  <si>
    <t xml:space="preserve">Tech pack / pattern + revisi [ISI]</t>
  </si>
  <si>
    <t xml:space="preserve">Approved sample ref [ISI]</t>
  </si>
  <si>
    <t xml:space="preserve">Routing / instruksi kerja ref [ISI]</t>
  </si>
  <si>
    <t xml:space="preserve">QC / acceptance ref [ISI]</t>
  </si>
  <si>
    <t xml:space="preserve">Material readiness [ISI]</t>
  </si>
  <si>
    <t xml:space="preserve">PIC produksi [ISI]</t>
  </si>
  <si>
    <t xml:space="preserve">Diperiksa oleh [ISI]</t>
  </si>
  <si>
    <t xml:space="preserve">Disetujui oleh [ISI]</t>
  </si>
  <si>
    <t xml:space="preserve">Tanggal persetujuan [ISI]</t>
  </si>
  <si>
    <t xml:space="preserve">Catatan / kondisi release [ISI]</t>
  </si>
  <si>
    <t xml:space="preserve">ID transaksi [ISI]</t>
  </si>
  <si>
    <t xml:space="preserve">Tanggal / shift [ISI]</t>
  </si>
  <si>
    <t xml:space="preserve">Batch / bundle [ISI]</t>
  </si>
  <si>
    <t xml:space="preserve">Proses [ISI]</t>
  </si>
  <si>
    <t xml:space="preserve">Label ukuran [ISI]</t>
  </si>
  <si>
    <t xml:space="preserve">Qty masuk [ISI]</t>
  </si>
  <si>
    <t xml:space="preserve">Qty baik [ISI]</t>
  </si>
  <si>
    <t xml:space="preserve">Qty reject [ISI]</t>
  </si>
  <si>
    <t xml:space="preserve">Qty rework [ISI]</t>
  </si>
  <si>
    <t xml:space="preserve">Operator / PIC [ISI]</t>
  </si>
  <si>
    <t xml:space="preserve">QC / penerima [ISI]</t>
  </si>
  <si>
    <t xml:space="preserve">Catatan [ISI]</t>
  </si>
  <si>
    <t xml:space="preserve">ID</t>
  </si>
  <si>
    <t xml:space="preserve">Prioritas</t>
  </si>
  <si>
    <t xml:space="preserve">Cakupan</t>
  </si>
  <si>
    <t xml:space="preserve">Temuan / pertanyaan</t>
  </si>
  <si>
    <t xml:space="preserve">Tindakan yang diperlukan</t>
  </si>
  <si>
    <t xml:space="preserve">Keputusan / sumber resmi [ISI]</t>
  </si>
  <si>
    <t xml:space="preserve">PIC [ISI]</t>
  </si>
  <si>
    <t xml:space="preserve">Status</t>
  </si>
  <si>
    <t xml:space="preserve">K01</t>
  </si>
  <si>
    <t xml:space="preserve">TINGGI</t>
  </si>
  <si>
    <t xml:space="preserve">59 order</t>
  </si>
  <si>
    <t xml:space="preserve">CRD 30 Jul / LPD 14 Jul 2026 pada detail mendahului jadwal Sep–Okt.</t>
  </si>
  <si>
    <t xml:space="preserve">Validasi tanggal dan definisi terhadap PO/schedule resmi.</t>
  </si>
  <si>
    <t xml:space="preserve">TERBUKA</t>
  </si>
  <si>
    <t xml:space="preserve">K02</t>
  </si>
  <si>
    <t xml:space="preserve">Dokumen</t>
  </si>
  <si>
    <t xml:space="preserve">OCTOBER ORDER vs SEPT ORDER vs footer September.</t>
  </si>
  <si>
    <t xml:space="preserve">Tetapkan periode, tanggal issue, revisi dan nomor dokumen.</t>
  </si>
  <si>
    <t xml:space="preserve">K03</t>
  </si>
  <si>
    <t xml:space="preserve">Satuan belum eksplisit.</t>
  </si>
  <si>
    <t xml:space="preserve">Tetapkan pair/set/piece sesuai PO dan lingkup upper.</t>
  </si>
  <si>
    <t xml:space="preserve">K04</t>
  </si>
  <si>
    <t xml:space="preserve">29 label size</t>
  </si>
  <si>
    <t xml:space="preserve">Sistem ukuran dan tanda - belum didefinisikan.</t>
  </si>
  <si>
    <t xml:space="preserve">Konfirmasi buyer US/UK/EU dan arti half size tanpa asumsi.</t>
  </si>
  <si>
    <t xml:space="preserve">K05</t>
  </si>
  <si>
    <t xml:space="preserve">BOM/tech pack/pattern/QC/release belum tertelusur.</t>
  </si>
  <si>
    <t xml:space="preserve">Isi referensi revisi dan approval pada 04 KESIAPAN.</t>
  </si>
  <si>
    <t xml:space="preserve">K06</t>
  </si>
  <si>
    <t xml:space="preserve">SEDANG</t>
  </si>
  <si>
    <t xml:space="preserve">8 order FGT</t>
  </si>
  <si>
    <t xml:space="preserve">FGT masing-masing 9; total 72.</t>
  </si>
  <si>
    <t xml:space="preserve">Konfirmasi arti dan apakah tambahan atau termasuk PO.</t>
  </si>
  <si>
    <t xml:space="preserve">K07</t>
  </si>
  <si>
    <t xml:space="preserve">SEP!G36</t>
  </si>
  <si>
    <t xml:space="preserve">Sumber berisi formula =15807-36, bukan teks PO.</t>
  </si>
  <si>
    <t xml:space="preserve">Konfirmasi nomor PO subkontrak dari dokumen resmi.</t>
  </si>
  <si>
    <t xml:space="preserve">K08</t>
  </si>
  <si>
    <t xml:space="preserve">Penjadwalan</t>
  </si>
  <si>
    <t xml:space="preserve">BUILD/CELL/G/BIG/GNJ/CRD/LPD/PODD belum punya kamus pasti.</t>
  </si>
  <si>
    <t xml:space="preserve">Tetapkan pemilik definisi dan mapping field.</t>
  </si>
  <si>
    <t xml:space="preserve">K09</t>
  </si>
  <si>
    <t xml:space="preserve">PART / batch</t>
  </si>
  <si>
    <t xml:space="preserve">PART 1/2/3 belum punya distribusi qty/size.</t>
  </si>
  <si>
    <t xml:space="preserve">Tetapkan batch/bundle dan jumlah per ukuran.</t>
  </si>
  <si>
    <t xml:space="preserve">K10</t>
  </si>
  <si>
    <t xml:space="preserve">Target upper</t>
  </si>
  <si>
    <t xml:space="preserve">Assembly plan bukan otomatis target proses upper.</t>
  </si>
  <si>
    <t xml:space="preserve">Admin isi target mulai/selesai upper dari jadwal sah.</t>
  </si>
  <si>
    <t xml:space="preserve">K11</t>
  </si>
  <si>
    <t xml:space="preserve">DIPERBAIKI</t>
  </si>
  <si>
    <t xml:space="preserve">Rumus size</t>
  </si>
  <si>
    <t xml:space="preserve">Formula sumber sebagian berhenti AM.</t>
  </si>
  <si>
    <t xml:space="preserve">Versi baru memakai SUM seluruh 29 ukuran D:AF.</t>
  </si>
  <si>
    <t xml:space="preserve">SELESAI LAYOUT</t>
  </si>
  <si>
    <t xml:space="preserve">K12</t>
  </si>
  <si>
    <t xml:space="preserve">Layout</t>
  </si>
  <si>
    <t xml:space="preserve">Detail sulit dibaca dan tanggal di luar area cetak.</t>
  </si>
  <si>
    <t xml:space="preserve">Versi baru memisah admin/size dan menyediakan kartu operator per halaman.</t>
  </si>
  <si>
    <t xml:space="preserve">Sheet asal</t>
  </si>
  <si>
    <t xml:space="preserve">Baris asal</t>
  </si>
  <si>
    <t xml:space="preserve">No SPK</t>
  </si>
  <si>
    <t xml:space="preserve">Build</t>
  </si>
  <si>
    <t xml:space="preserve">PO (teks)</t>
  </si>
  <si>
    <t xml:space="preserve">Tujuan sumber</t>
  </si>
  <si>
    <t xml:space="preserve">G sumber</t>
  </si>
  <si>
    <t xml:space="preserve">Qty sumber</t>
  </si>
  <si>
    <t xml:space="preserve">Material plan sumber</t>
  </si>
  <si>
    <t xml:space="preserve">Assembly mulai sumber</t>
  </si>
  <si>
    <t xml:space="preserve">Assembly selesai sumber</t>
  </si>
  <si>
    <t xml:space="preserve">AU header sumber</t>
  </si>
  <si>
    <t xml:space="preserve">AU nilai sumber</t>
  </si>
  <si>
    <t xml:space="preserve">AV header sumber</t>
  </si>
  <si>
    <t xml:space="preserve">AV nilai sumber</t>
  </si>
  <si>
    <t xml:space="preserve">PO subkontrak sumber (teks literal)</t>
  </si>
  <si>
    <t xml:space="preserve">Total size dihitung independen</t>
  </si>
  <si>
    <t xml:space="preserve">SEP</t>
  </si>
  <si>
    <t xml:space="preserve">M</t>
  </si>
  <si>
    <t xml:space="preserve">LPD (TGL EXPORT)</t>
  </si>
  <si>
    <t xml:space="preserve">PODD</t>
  </si>
  <si>
    <t xml:space="preserve">=15807-36</t>
  </si>
  <si>
    <t xml:space="preserve">SEPT SPK</t>
  </si>
  <si>
    <t xml:space="preserve">CRD (TGL EXPORT)</t>
  </si>
  <si>
    <t xml:space="preserve">Field</t>
  </si>
  <si>
    <t xml:space="preserve">Definisi / aturan</t>
  </si>
  <si>
    <t xml:space="preserve">Identifier asli, dipertahankan utuh; bukan nomor baru yang telah disahkan.</t>
  </si>
  <si>
    <t xml:space="preserve">A-19/B-19 sesuai file; arti area/line menunggu konfirmasi.</t>
  </si>
  <si>
    <t xml:space="preserve">Tujuan / channel</t>
  </si>
  <si>
    <t xml:space="preserve">Isi CUSTOMER asli; tidak otomatis nama legal pelanggan.</t>
  </si>
  <si>
    <t xml:space="preserve">Penanda literal PO asli. Makna bisnis belum dipastikan.</t>
  </si>
  <si>
    <t xml:space="preserve">UOM</t>
  </si>
  <si>
    <t xml:space="preserve">Satuan kuantitas wajib diverifikasi sebelum release.</t>
  </si>
  <si>
    <t xml:space="preserve">Sistem ukuran</t>
  </si>
  <si>
    <t xml:space="preserve">Tetapkan sistem buyer; label ukuran asli tidak dikonversi otomatis.</t>
  </si>
  <si>
    <t xml:space="preserve">Total / selisih size</t>
  </si>
  <si>
    <t xml:space="preserve">Total = seluruh 29 kolom size; selisih = total size dikurangi qty order. Nol berarti cocok secara jumlah.</t>
  </si>
  <si>
    <t xml:space="preserve">Rencana sumber</t>
  </si>
  <si>
    <t xml:space="preserve">Tanggal dari SEP; belum berarti realisasi, material readiness, atau target upper.</t>
  </si>
  <si>
    <t xml:space="preserve">Target UPPER</t>
  </si>
  <si>
    <t xml:space="preserve">Isian terpisah, bukan hasil tebak dari assembly minus empat hari.</t>
  </si>
  <si>
    <t xml:space="preserve">Versi ini seluruhnya DRAFT. Isi approval tidak otomatis mengubah status atau mengesahkan release.</t>
  </si>
  <si>
    <t xml:space="preserve">Material readiness</t>
  </si>
  <si>
    <t xml:space="preserve">Catat pemeriksaan ketersediaan, kelengkapan dan mutu; tanggal outgoing saja tidak cukup.</t>
  </si>
  <si>
    <t xml:space="preserve">Referensi teknik</t>
  </si>
  <si>
    <t xml:space="preserve">Kode dokumen beserta revisi yang berlaku, dapat menunjuk dokumen terpisah terkendali.</t>
  </si>
  <si>
    <t xml:space="preserve">Batch / bundle</t>
  </si>
  <si>
    <t xml:space="preserve">Identitas untuk penelusuran dan pembagian produksi; harus dikaitkan ke kuantitas/size.</t>
  </si>
  <si>
    <t xml:space="preserve">Aktual produksi</t>
  </si>
  <si>
    <t xml:space="preserve">Catat per transaksi/proses; reject/rework perlu aturan perusahaan agar tidak dihitung ganda. Tidak ditotal lintas operasi pada versi ini.</t>
  </si>
  <si>
    <t xml:space="preserve">Kolom kuning</t>
  </si>
  <si>
    <t xml:space="preserve">Isian manual; biarkan kosong bila belum diketahui, jangan isi angka nol untuk data yang belum diketahui.</t>
  </si>
  <si>
    <t xml:space="preserve">SUMBER_ORDER</t>
  </si>
  <si>
    <t xml:space="preserve">Arsip nilai order kedua sheet, bukan salinan seluruh formatting/gambar workbook. File asli tetap rujukan lengkap.</t>
  </si>
  <si>
    <t xml:space="preserve">Nol pada SIZE_RUN</t>
  </si>
  <si>
    <t xml:space="preserve">Kolom size yang kosong pada sumber ditampilkan nol untuk memudahkan hitung; bukan menandakan ukuran tersebut disetujui buyer.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</si>
</sst>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18354A"/>
      <name val="Cambria"/>
      <family val="0"/>
      <charset val="1"/>
    </font>
    <font>
      <sz val="10"/>
      <color rgb="FF18354A"/>
      <name val="Cambria"/>
      <family val="0"/>
      <charset val="1"/>
    </font>
    <font>
      <b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354A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CEE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835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7" type="wholeTable"/>
      <tableStyleElement dxfId="8" type="firstColumnStripe"/>
      <tableStyleElement dxfId="9" type="first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835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ktualProduksi" displayName="AktualProduksi" ref="A1:M2" headerRowCount="1" totalsRowCount="0" totalsRowShown="0">
  <autoFilter ref="A1:M2"/>
  <tableColumns count="13">
    <tableColumn id="1" name="ID transaksi [ISI]"/>
    <tableColumn id="2" name="Tanggal / shift [ISI]"/>
    <tableColumn id="3" name="No SPK sumber"/>
    <tableColumn id="4" name="Batch / bundle [ISI]"/>
    <tableColumn id="5" name="Proses [ISI]"/>
    <tableColumn id="6" name="Label ukuran [ISI]"/>
    <tableColumn id="7" name="Qty masuk [ISI]"/>
    <tableColumn id="8" name="Qty baik [ISI]"/>
    <tableColumn id="9" name="Qty reject [ISI]"/>
    <tableColumn id="10" name="Qty rework [ISI]"/>
    <tableColumn id="11" name="Operator / PIC [ISI]"/>
    <tableColumn id="12" name="QC / penerima [ISI]"/>
    <tableColumn id="13" name="Catatan [ISI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siapan" displayName="Kesiapan" ref="A1:R60" headerRowCount="1" totalsRowCount="0" totalsRowShown="0">
  <autoFilter ref="A1:R60"/>
  <tableColumns count="18">
    <tableColumn id="1" name="No SPK sumber"/>
    <tableColumn id="2" name="UOM [ISI]"/>
    <tableColumn id="3" name="Sistem ukuran [ISI]"/>
    <tableColumn id="4" name="Arti tanda - [ISI]"/>
    <tableColumn id="5" name="Jenis pekerjaan / lingkup [ISI]"/>
    <tableColumn id="6" name="PO subkontrak terverifikasi [ISI]"/>
    <tableColumn id="7" name="Batch / lot [ISI]"/>
    <tableColumn id="8" name="BOM + revisi [ISI]"/>
    <tableColumn id="9" name="Tech pack / pattern + revisi [ISI]"/>
    <tableColumn id="10" name="Approved sample ref [ISI]"/>
    <tableColumn id="11" name="Routing / instruksi kerja ref [ISI]"/>
    <tableColumn id="12" name="QC / acceptance ref [ISI]"/>
    <tableColumn id="13" name="Material readiness [ISI]"/>
    <tableColumn id="14" name="PIC produksi [ISI]"/>
    <tableColumn id="15" name="Diperiksa oleh [ISI]"/>
    <tableColumn id="16" name="Disetujui oleh [ISI]"/>
    <tableColumn id="17" name="Tanggal persetujuan [ISI]"/>
    <tableColumn id="18" name="Catatan / kondisi release [ISI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onfirmasi" displayName="Konfirmasi" ref="A1:H13" headerRowCount="1" totalsRowCount="0" totalsRowShown="0">
  <autoFilter ref="A1:H13"/>
  <tableColumns count="8">
    <tableColumn id="1" name="ID"/>
    <tableColumn id="2" name="Prioritas"/>
    <tableColumn id="3" name="Cakupan"/>
    <tableColumn id="4" name="Temuan / pertanyaan"/>
    <tableColumn id="5" name="Tindakan yang diperlukan"/>
    <tableColumn id="6" name="Keputusan / sumber resmi [ISI]"/>
    <tableColumn id="7" name="PIC [ISI]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derAdmin" displayName="OrderAdmin" ref="A1:S60" headerRowCount="1" totalsRowCount="0" totalsRowShown="0">
  <autoFilter ref="A1:S60"/>
  <tableColumns count="19">
    <tableColumn id="1" name="No SPK sumber"/>
    <tableColumn id="2" name="Build sumber"/>
    <tableColumn id="3" name="Model"/>
    <tableColumn id="4" name="Artikel"/>
    <tableColumn id="5" name="PO sumber (teks)"/>
    <tableColumn id="6" name="Penanda FGT"/>
    <tableColumn id="7" name="Tujuan / channel sumber"/>
    <tableColumn id="8" name="Warna"/>
    <tableColumn id="9" name="Qty order (UOM belum pasti)"/>
    <tableColumn id="10" name="Total size (hitung)"/>
    <tableColumn id="11" name="Selisih size-order"/>
    <tableColumn id="12" name="Rencana kirim material (SEP)"/>
    <tableColumn id="13" name="Rencana assembly mulai (SEP)"/>
    <tableColumn id="14" name="Rencana assembly selesai (SEP)"/>
    <tableColumn id="15" name="PODD sumber (definisi belum pasti)"/>
    <tableColumn id="16" name="Target mulai UPPER [ISI]"/>
    <tableColumn id="17" name="Target selesai UPPER [ISI]"/>
    <tableColumn id="18" name="Status dokumen"/>
    <tableColumn id="19" name="Catatan verifikas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zeRun" displayName="SizeRun" ref="A1:AI60" headerRowCount="1" totalsRowCount="0" totalsRowShown="0">
  <autoFilter ref="A1:AI60"/>
  <tableColumns count="35">
    <tableColumn id="1" name="No SPK sumber"/>
    <tableColumn id="2" name="Artikel"/>
    <tableColumn id="3" name="Qty order"/>
    <tableColumn id="4" name="3"/>
    <tableColumn id="5" name="3-"/>
    <tableColumn id="6" name="4"/>
    <tableColumn id="7" name="4-"/>
    <tableColumn id="8" name="5"/>
    <tableColumn id="9" name="5-"/>
    <tableColumn id="10" name="6"/>
    <tableColumn id="11" name="6-"/>
    <tableColumn id="12" name="7"/>
    <tableColumn id="13" name="7-"/>
    <tableColumn id="14" name="8"/>
    <tableColumn id="15" name="8-"/>
    <tableColumn id="16" name="9"/>
    <tableColumn id="17" name="9-"/>
    <tableColumn id="18" name="10"/>
    <tableColumn id="19" name="10-"/>
    <tableColumn id="20" name="11"/>
    <tableColumn id="21" name="11-"/>
    <tableColumn id="22" name="12"/>
    <tableColumn id="23" name="12-"/>
    <tableColumn id="24" name="13"/>
    <tableColumn id="25" name="13-"/>
    <tableColumn id="26" name="14"/>
    <tableColumn id="27" name="14-"/>
    <tableColumn id="28" name="15"/>
    <tableColumn id="29" name="15-"/>
    <tableColumn id="30" name="16"/>
    <tableColumn id="31" name="17"/>
    <tableColumn id="32" name="18"/>
    <tableColumn id="33" name="Total semua size"/>
    <tableColumn id="34" name="Selisih"/>
    <tableColumn id="35" name="Hasil ce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mberOrder" displayName="SumberOrder" ref="A1:T119" headerRowCount="1" totalsRowCount="0" totalsRowShown="0">
  <autoFilter ref="A1:T119"/>
  <tableColumns count="20">
    <tableColumn id="1" name="Sheet asal"/>
    <tableColumn id="2" name="Baris asal"/>
    <tableColumn id="3" name="No SPK"/>
    <tableColumn id="4" name="Build"/>
    <tableColumn id="5" name="Model"/>
    <tableColumn id="6" name="Artikel"/>
    <tableColumn id="7" name="PO (teks)"/>
    <tableColumn id="8" name="Warna"/>
    <tableColumn id="9" name="Tujuan sumber"/>
    <tableColumn id="10" name="G sumber"/>
    <tableColumn id="11" name="Qty sumber"/>
    <tableColumn id="12" name="Material plan sumber"/>
    <tableColumn id="13" name="Assembly mulai sumber"/>
    <tableColumn id="14" name="Assembly selesai sumber"/>
    <tableColumn id="15" name="AU header sumber"/>
    <tableColumn id="16" name="AU nilai sumber"/>
    <tableColumn id="17" name="AV header sumber"/>
    <tableColumn id="18" name="AV nilai sumber"/>
    <tableColumn id="19" name="PO subkontrak sumber (teks literal)"/>
    <tableColumn id="20" name="Total size dihitung indepen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15"/>
  </cols>
  <sheetData>
    <row r="1" customFormat="false" ht="33.75" hidden="false" customHeight="true" outlineLevel="0" collapsed="false">
      <c r="A1" s="1" t="s">
        <v>0</v>
      </c>
      <c r="B1" s="1" t="s">
        <v>1</v>
      </c>
    </row>
    <row r="2" customFormat="false" ht="43.5" hidden="false" customHeight="true" outlineLevel="0" collapsed="false">
      <c r="A2" s="2" t="s">
        <v>2</v>
      </c>
      <c r="B2" s="2" t="s">
        <v>3</v>
      </c>
    </row>
    <row r="3" customFormat="false" ht="43.5" hidden="false" customHeight="true" outlineLevel="0" collapsed="false">
      <c r="A3" s="2" t="s">
        <v>4</v>
      </c>
      <c r="B3" s="2" t="s">
        <v>5</v>
      </c>
    </row>
    <row r="4" customFormat="false" ht="43.5" hidden="false" customHeight="true" outlineLevel="0" collapsed="false">
      <c r="A4" s="2" t="s">
        <v>6</v>
      </c>
      <c r="B4" s="2" t="s">
        <v>7</v>
      </c>
    </row>
    <row r="5" customFormat="false" ht="43.5" hidden="false" customHeight="true" outlineLevel="0" collapsed="false">
      <c r="A5" s="2" t="s">
        <v>8</v>
      </c>
      <c r="B5" s="2" t="s">
        <v>9</v>
      </c>
    </row>
    <row r="6" customFormat="false" ht="43.5" hidden="false" customHeight="true" outlineLevel="0" collapsed="false">
      <c r="A6" s="2" t="s">
        <v>10</v>
      </c>
      <c r="B6" s="2" t="s">
        <v>11</v>
      </c>
    </row>
    <row r="7" customFormat="false" ht="43.5" hidden="false" customHeight="true" outlineLevel="0" collapsed="false">
      <c r="A7" s="2" t="s">
        <v>12</v>
      </c>
      <c r="B7" s="2" t="s">
        <v>13</v>
      </c>
    </row>
    <row r="8" customFormat="false" ht="43.5" hidden="false" customHeight="true" outlineLevel="0" collapsed="false">
      <c r="A8" s="2" t="s">
        <v>14</v>
      </c>
      <c r="B8" s="2" t="s">
        <v>15</v>
      </c>
    </row>
    <row r="9" customFormat="false" ht="43.5" hidden="false" customHeight="true" outlineLevel="0" collapsed="false">
      <c r="A9" s="2" t="s">
        <v>16</v>
      </c>
      <c r="B9" s="2" t="s">
        <v>17</v>
      </c>
    </row>
    <row r="10" customFormat="false" ht="43.5" hidden="false" customHeight="true" outlineLevel="0" collapsed="false">
      <c r="A10" s="2" t="s">
        <v>18</v>
      </c>
      <c r="B10" s="2" t="s">
        <v>19</v>
      </c>
    </row>
    <row r="11" customFormat="false" ht="43.5" hidden="false" customHeight="true" outlineLevel="0" collapsed="false">
      <c r="A11" s="2" t="s">
        <v>20</v>
      </c>
      <c r="B11" s="2" t="s">
        <v>21</v>
      </c>
    </row>
    <row r="12" customFormat="false" ht="43.5" hidden="false" customHeight="true" outlineLevel="0" collapsed="false">
      <c r="A12" s="2" t="s">
        <v>22</v>
      </c>
      <c r="B12" s="2" t="s">
        <v>23</v>
      </c>
    </row>
    <row r="13" customFormat="false" ht="43.5" hidden="false" customHeight="true" outlineLevel="0" collapsed="false">
      <c r="A13" s="2" t="s">
        <v>24</v>
      </c>
      <c r="B13" s="2" t="s">
        <v>25</v>
      </c>
    </row>
    <row r="14" customFormat="false" ht="43.5" hidden="false" customHeight="true" outlineLevel="0" collapsed="false">
      <c r="A14" s="2" t="s">
        <v>26</v>
      </c>
      <c r="B14" s="2" t="s">
        <v>27</v>
      </c>
    </row>
    <row r="15" customFormat="false" ht="43.5" hidden="false" customHeight="true" outlineLevel="0" collapsed="false">
      <c r="A15" s="2" t="s">
        <v>28</v>
      </c>
      <c r="B15" s="2" t="s">
        <v>29</v>
      </c>
    </row>
    <row r="16" customFormat="false" ht="43.5" hidden="false" customHeight="true" outlineLevel="0" collapsed="false">
      <c r="A16" s="2" t="s">
        <v>30</v>
      </c>
      <c r="B16" s="2" t="s">
        <v>31</v>
      </c>
    </row>
    <row r="17" customFormat="false" ht="43.5" hidden="false" customHeight="true" outlineLevel="0" collapsed="false">
      <c r="A17" s="2" t="s">
        <v>32</v>
      </c>
      <c r="B17" s="2" t="s">
        <v>33</v>
      </c>
    </row>
    <row r="18" customFormat="false" ht="43.5" hidden="false" customHeight="true" outlineLevel="0" collapsed="false">
      <c r="A18" s="2" t="s">
        <v>34</v>
      </c>
      <c r="B18" s="2" t="s">
        <v>35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43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4" min="12" style="0" width="20"/>
    <col collapsed="false" customWidth="true" hidden="false" outlineLevel="0" max="15" min="15" style="0" width="22"/>
    <col collapsed="false" customWidth="true" hidden="false" outlineLevel="0" max="17" min="16" style="0" width="21"/>
    <col collapsed="false" customWidth="true" hidden="false" outlineLevel="0" max="18" min="18" style="0" width="27"/>
    <col collapsed="false" customWidth="true" hidden="false" outlineLevel="0" max="19" min="19" style="0" width="55"/>
  </cols>
  <sheetData>
    <row r="1" customFormat="false" ht="33.75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22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</row>
    <row r="2" customFormat="false" ht="23.85" hidden="false" customHeight="false" outlineLevel="0" collapsed="false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n">
        <v>155</v>
      </c>
      <c r="J2" s="2" t="n">
        <f aca="false">'02 SIZE_RUN'!AG2</f>
        <v>155</v>
      </c>
      <c r="K2" s="3" t="n">
        <f aca="false">J2-I2</f>
        <v>0</v>
      </c>
      <c r="L2" s="4" t="n">
        <v>46273</v>
      </c>
      <c r="M2" s="4" t="n">
        <v>46290</v>
      </c>
      <c r="N2" s="4" t="n">
        <v>46290</v>
      </c>
      <c r="O2" s="4" t="n">
        <v>46309</v>
      </c>
      <c r="P2" s="5"/>
      <c r="Q2" s="5"/>
      <c r="R2" s="6" t="s">
        <v>62</v>
      </c>
      <c r="S2" s="2" t="s">
        <v>63</v>
      </c>
    </row>
    <row r="3" customFormat="false" ht="23.85" hidden="false" customHeight="false" outlineLevel="0" collapsed="false">
      <c r="A3" s="2" t="s">
        <v>64</v>
      </c>
      <c r="B3" s="2" t="s">
        <v>55</v>
      </c>
      <c r="C3" s="2" t="s">
        <v>56</v>
      </c>
      <c r="D3" s="2" t="s">
        <v>57</v>
      </c>
      <c r="E3" s="2" t="s">
        <v>65</v>
      </c>
      <c r="F3" s="2" t="s">
        <v>66</v>
      </c>
      <c r="G3" s="2" t="s">
        <v>60</v>
      </c>
      <c r="H3" s="2" t="s">
        <v>61</v>
      </c>
      <c r="I3" s="2" t="n">
        <v>9</v>
      </c>
      <c r="J3" s="2" t="n">
        <f aca="false">'02 SIZE_RUN'!AG3</f>
        <v>9</v>
      </c>
      <c r="K3" s="3" t="n">
        <f aca="false">J3-I3</f>
        <v>0</v>
      </c>
      <c r="L3" s="4" t="n">
        <v>46273</v>
      </c>
      <c r="M3" s="4" t="n">
        <v>46290</v>
      </c>
      <c r="N3" s="4" t="n">
        <v>46290</v>
      </c>
      <c r="O3" s="4" t="n">
        <v>46309</v>
      </c>
      <c r="P3" s="5"/>
      <c r="Q3" s="5"/>
      <c r="R3" s="6" t="s">
        <v>62</v>
      </c>
      <c r="S3" s="2" t="s">
        <v>63</v>
      </c>
    </row>
    <row r="4" customFormat="false" ht="23.85" hidden="false" customHeight="false" outlineLevel="0" collapsed="false">
      <c r="A4" s="2" t="s">
        <v>67</v>
      </c>
      <c r="B4" s="2" t="s">
        <v>55</v>
      </c>
      <c r="C4" s="2" t="s">
        <v>56</v>
      </c>
      <c r="D4" s="2" t="s">
        <v>57</v>
      </c>
      <c r="E4" s="2" t="s">
        <v>68</v>
      </c>
      <c r="F4" s="2" t="s">
        <v>59</v>
      </c>
      <c r="G4" s="2" t="s">
        <v>69</v>
      </c>
      <c r="H4" s="2" t="s">
        <v>61</v>
      </c>
      <c r="I4" s="2" t="n">
        <v>650</v>
      </c>
      <c r="J4" s="2" t="n">
        <f aca="false">'02 SIZE_RUN'!AG4</f>
        <v>650</v>
      </c>
      <c r="K4" s="3" t="n">
        <f aca="false">J4-I4</f>
        <v>0</v>
      </c>
      <c r="L4" s="4" t="n">
        <v>46273</v>
      </c>
      <c r="M4" s="4" t="n">
        <v>46290</v>
      </c>
      <c r="N4" s="4" t="n">
        <v>46290</v>
      </c>
      <c r="O4" s="4" t="n">
        <v>46309</v>
      </c>
      <c r="P4" s="5"/>
      <c r="Q4" s="5"/>
      <c r="R4" s="6" t="s">
        <v>62</v>
      </c>
      <c r="S4" s="2" t="s">
        <v>63</v>
      </c>
    </row>
    <row r="5" customFormat="false" ht="23.85" hidden="false" customHeight="false" outlineLevel="0" collapsed="false">
      <c r="A5" s="2" t="s">
        <v>70</v>
      </c>
      <c r="B5" s="2" t="s">
        <v>55</v>
      </c>
      <c r="C5" s="2" t="s">
        <v>56</v>
      </c>
      <c r="D5" s="2" t="s">
        <v>57</v>
      </c>
      <c r="E5" s="2" t="s">
        <v>71</v>
      </c>
      <c r="F5" s="2" t="s">
        <v>59</v>
      </c>
      <c r="G5" s="2" t="s">
        <v>69</v>
      </c>
      <c r="H5" s="2" t="s">
        <v>61</v>
      </c>
      <c r="I5" s="2" t="n">
        <v>650</v>
      </c>
      <c r="J5" s="2" t="n">
        <f aca="false">'02 SIZE_RUN'!AG5</f>
        <v>650</v>
      </c>
      <c r="K5" s="3" t="n">
        <f aca="false">J5-I5</f>
        <v>0</v>
      </c>
      <c r="L5" s="4" t="n">
        <v>46273</v>
      </c>
      <c r="M5" s="4" t="n">
        <v>46290</v>
      </c>
      <c r="N5" s="4" t="n">
        <v>46293</v>
      </c>
      <c r="O5" s="4" t="n">
        <v>46309</v>
      </c>
      <c r="P5" s="5"/>
      <c r="Q5" s="5"/>
      <c r="R5" s="6" t="s">
        <v>62</v>
      </c>
      <c r="S5" s="2" t="s">
        <v>63</v>
      </c>
    </row>
    <row r="6" customFormat="false" ht="23.85" hidden="false" customHeight="false" outlineLevel="0" collapsed="false">
      <c r="A6" s="2" t="s">
        <v>72</v>
      </c>
      <c r="B6" s="2" t="s">
        <v>55</v>
      </c>
      <c r="C6" s="2" t="s">
        <v>56</v>
      </c>
      <c r="D6" s="2" t="s">
        <v>73</v>
      </c>
      <c r="E6" s="2" t="s">
        <v>74</v>
      </c>
      <c r="F6" s="2" t="s">
        <v>59</v>
      </c>
      <c r="G6" s="2" t="s">
        <v>60</v>
      </c>
      <c r="H6" s="2" t="s">
        <v>75</v>
      </c>
      <c r="I6" s="2" t="n">
        <v>181</v>
      </c>
      <c r="J6" s="2" t="n">
        <f aca="false">'02 SIZE_RUN'!AG6</f>
        <v>181</v>
      </c>
      <c r="K6" s="3" t="n">
        <f aca="false">J6-I6</f>
        <v>0</v>
      </c>
      <c r="L6" s="4" t="n">
        <v>46273</v>
      </c>
      <c r="M6" s="4" t="n">
        <v>46293</v>
      </c>
      <c r="N6" s="4" t="n">
        <v>46293</v>
      </c>
      <c r="O6" s="4" t="n">
        <v>46309</v>
      </c>
      <c r="P6" s="5"/>
      <c r="Q6" s="5"/>
      <c r="R6" s="6" t="s">
        <v>62</v>
      </c>
      <c r="S6" s="2" t="s">
        <v>63</v>
      </c>
    </row>
    <row r="7" customFormat="false" ht="23.85" hidden="false" customHeight="false" outlineLevel="0" collapsed="false">
      <c r="A7" s="2" t="s">
        <v>76</v>
      </c>
      <c r="B7" s="2" t="s">
        <v>55</v>
      </c>
      <c r="C7" s="2" t="s">
        <v>56</v>
      </c>
      <c r="D7" s="2" t="s">
        <v>73</v>
      </c>
      <c r="E7" s="2" t="s">
        <v>77</v>
      </c>
      <c r="F7" s="2" t="s">
        <v>66</v>
      </c>
      <c r="G7" s="2" t="s">
        <v>60</v>
      </c>
      <c r="H7" s="2" t="s">
        <v>75</v>
      </c>
      <c r="I7" s="2" t="n">
        <v>9</v>
      </c>
      <c r="J7" s="2" t="n">
        <f aca="false">'02 SIZE_RUN'!AG7</f>
        <v>9</v>
      </c>
      <c r="K7" s="3" t="n">
        <f aca="false">J7-I7</f>
        <v>0</v>
      </c>
      <c r="L7" s="4" t="n">
        <v>46273</v>
      </c>
      <c r="M7" s="4" t="n">
        <v>46293</v>
      </c>
      <c r="N7" s="4" t="n">
        <v>46293</v>
      </c>
      <c r="O7" s="4" t="n">
        <v>46309</v>
      </c>
      <c r="P7" s="5"/>
      <c r="Q7" s="5"/>
      <c r="R7" s="6" t="s">
        <v>62</v>
      </c>
      <c r="S7" s="2" t="s">
        <v>63</v>
      </c>
    </row>
    <row r="8" customFormat="false" ht="23.85" hidden="false" customHeight="false" outlineLevel="0" collapsed="false">
      <c r="A8" s="2" t="s">
        <v>78</v>
      </c>
      <c r="B8" s="2" t="s">
        <v>55</v>
      </c>
      <c r="C8" s="2" t="s">
        <v>56</v>
      </c>
      <c r="D8" s="2" t="s">
        <v>73</v>
      </c>
      <c r="E8" s="2" t="s">
        <v>79</v>
      </c>
      <c r="F8" s="2" t="s">
        <v>59</v>
      </c>
      <c r="G8" s="2" t="s">
        <v>80</v>
      </c>
      <c r="H8" s="2" t="s">
        <v>75</v>
      </c>
      <c r="I8" s="2" t="n">
        <v>6120</v>
      </c>
      <c r="J8" s="2" t="n">
        <f aca="false">'02 SIZE_RUN'!AG8</f>
        <v>6120</v>
      </c>
      <c r="K8" s="3" t="n">
        <f aca="false">J8-I8</f>
        <v>0</v>
      </c>
      <c r="L8" s="4" t="n">
        <v>46273</v>
      </c>
      <c r="M8" s="4" t="n">
        <v>46293</v>
      </c>
      <c r="N8" s="4" t="n">
        <v>46302</v>
      </c>
      <c r="O8" s="4" t="n">
        <v>46309</v>
      </c>
      <c r="P8" s="5"/>
      <c r="Q8" s="5"/>
      <c r="R8" s="6" t="s">
        <v>62</v>
      </c>
      <c r="S8" s="2" t="s">
        <v>63</v>
      </c>
    </row>
    <row r="9" customFormat="false" ht="23.85" hidden="false" customHeight="false" outlineLevel="0" collapsed="false">
      <c r="A9" s="2" t="s">
        <v>81</v>
      </c>
      <c r="B9" s="2" t="s">
        <v>55</v>
      </c>
      <c r="C9" s="2" t="s">
        <v>56</v>
      </c>
      <c r="D9" s="2" t="s">
        <v>82</v>
      </c>
      <c r="E9" s="2" t="s">
        <v>83</v>
      </c>
      <c r="F9" s="2" t="s">
        <v>59</v>
      </c>
      <c r="G9" s="2" t="s">
        <v>84</v>
      </c>
      <c r="H9" s="2" t="s">
        <v>85</v>
      </c>
      <c r="I9" s="2" t="n">
        <v>440</v>
      </c>
      <c r="J9" s="2" t="n">
        <f aca="false">'02 SIZE_RUN'!AG9</f>
        <v>440</v>
      </c>
      <c r="K9" s="3" t="n">
        <f aca="false">J9-I9</f>
        <v>0</v>
      </c>
      <c r="L9" s="4" t="n">
        <v>46280</v>
      </c>
      <c r="M9" s="4" t="n">
        <v>46302</v>
      </c>
      <c r="N9" s="4" t="n">
        <v>46302</v>
      </c>
      <c r="O9" s="4" t="n">
        <v>46309</v>
      </c>
      <c r="P9" s="5"/>
      <c r="Q9" s="5"/>
      <c r="R9" s="6" t="s">
        <v>62</v>
      </c>
      <c r="S9" s="2" t="s">
        <v>63</v>
      </c>
    </row>
    <row r="10" customFormat="false" ht="23.85" hidden="false" customHeight="false" outlineLevel="0" collapsed="false">
      <c r="A10" s="2" t="s">
        <v>86</v>
      </c>
      <c r="B10" s="2" t="s">
        <v>55</v>
      </c>
      <c r="C10" s="2" t="s">
        <v>56</v>
      </c>
      <c r="D10" s="2" t="s">
        <v>82</v>
      </c>
      <c r="E10" s="2" t="s">
        <v>87</v>
      </c>
      <c r="F10" s="2" t="s">
        <v>66</v>
      </c>
      <c r="G10" s="2" t="s">
        <v>84</v>
      </c>
      <c r="H10" s="2" t="s">
        <v>85</v>
      </c>
      <c r="I10" s="2" t="n">
        <v>9</v>
      </c>
      <c r="J10" s="2" t="n">
        <f aca="false">'02 SIZE_RUN'!AG10</f>
        <v>9</v>
      </c>
      <c r="K10" s="3" t="n">
        <f aca="false">J10-I10</f>
        <v>0</v>
      </c>
      <c r="L10" s="4" t="n">
        <v>46280</v>
      </c>
      <c r="M10" s="4" t="n">
        <v>46302</v>
      </c>
      <c r="N10" s="4" t="n">
        <v>46302</v>
      </c>
      <c r="O10" s="4" t="n">
        <v>46309</v>
      </c>
      <c r="P10" s="5"/>
      <c r="Q10" s="5"/>
      <c r="R10" s="6" t="s">
        <v>62</v>
      </c>
      <c r="S10" s="2" t="s">
        <v>63</v>
      </c>
    </row>
    <row r="11" customFormat="false" ht="23.85" hidden="false" customHeight="false" outlineLevel="0" collapsed="false">
      <c r="A11" s="2" t="s">
        <v>88</v>
      </c>
      <c r="B11" s="2" t="s">
        <v>55</v>
      </c>
      <c r="C11" s="2" t="s">
        <v>56</v>
      </c>
      <c r="D11" s="2" t="s">
        <v>82</v>
      </c>
      <c r="E11" s="2" t="s">
        <v>89</v>
      </c>
      <c r="F11" s="2" t="s">
        <v>59</v>
      </c>
      <c r="G11" s="2" t="s">
        <v>90</v>
      </c>
      <c r="H11" s="2" t="s">
        <v>85</v>
      </c>
      <c r="I11" s="2" t="n">
        <v>645</v>
      </c>
      <c r="J11" s="2" t="n">
        <f aca="false">'02 SIZE_RUN'!AG11</f>
        <v>645</v>
      </c>
      <c r="K11" s="3" t="n">
        <f aca="false">J11-I11</f>
        <v>0</v>
      </c>
      <c r="L11" s="4" t="n">
        <v>46280</v>
      </c>
      <c r="M11" s="4" t="n">
        <v>46302</v>
      </c>
      <c r="N11" s="4" t="n">
        <v>46303</v>
      </c>
      <c r="O11" s="4" t="n">
        <v>46309</v>
      </c>
      <c r="P11" s="5"/>
      <c r="Q11" s="5"/>
      <c r="R11" s="6" t="s">
        <v>62</v>
      </c>
      <c r="S11" s="2" t="s">
        <v>63</v>
      </c>
    </row>
    <row r="12" customFormat="false" ht="23.85" hidden="false" customHeight="false" outlineLevel="0" collapsed="false">
      <c r="A12" s="2" t="s">
        <v>91</v>
      </c>
      <c r="B12" s="2" t="s">
        <v>55</v>
      </c>
      <c r="C12" s="2" t="s">
        <v>56</v>
      </c>
      <c r="D12" s="2" t="s">
        <v>92</v>
      </c>
      <c r="E12" s="2" t="s">
        <v>93</v>
      </c>
      <c r="F12" s="2" t="s">
        <v>59</v>
      </c>
      <c r="G12" s="2" t="s">
        <v>94</v>
      </c>
      <c r="H12" s="2" t="s">
        <v>95</v>
      </c>
      <c r="I12" s="2" t="n">
        <v>241</v>
      </c>
      <c r="J12" s="2" t="n">
        <f aca="false">'02 SIZE_RUN'!AG12</f>
        <v>241</v>
      </c>
      <c r="K12" s="3" t="n">
        <f aca="false">J12-I12</f>
        <v>0</v>
      </c>
      <c r="L12" s="4" t="n">
        <v>46280</v>
      </c>
      <c r="M12" s="4" t="n">
        <v>46303</v>
      </c>
      <c r="N12" s="4" t="n">
        <v>46303</v>
      </c>
      <c r="O12" s="4" t="n">
        <v>46317</v>
      </c>
      <c r="P12" s="5"/>
      <c r="Q12" s="5"/>
      <c r="R12" s="6" t="s">
        <v>62</v>
      </c>
      <c r="S12" s="2" t="s">
        <v>63</v>
      </c>
    </row>
    <row r="13" customFormat="false" ht="23.85" hidden="false" customHeight="false" outlineLevel="0" collapsed="false">
      <c r="A13" s="2" t="s">
        <v>96</v>
      </c>
      <c r="B13" s="2" t="s">
        <v>55</v>
      </c>
      <c r="C13" s="2" t="s">
        <v>56</v>
      </c>
      <c r="D13" s="2" t="s">
        <v>92</v>
      </c>
      <c r="E13" s="2" t="s">
        <v>97</v>
      </c>
      <c r="F13" s="2" t="s">
        <v>66</v>
      </c>
      <c r="G13" s="2" t="s">
        <v>94</v>
      </c>
      <c r="H13" s="2" t="s">
        <v>95</v>
      </c>
      <c r="I13" s="2" t="n">
        <v>9</v>
      </c>
      <c r="J13" s="2" t="n">
        <f aca="false">'02 SIZE_RUN'!AG13</f>
        <v>9</v>
      </c>
      <c r="K13" s="3" t="n">
        <f aca="false">J13-I13</f>
        <v>0</v>
      </c>
      <c r="L13" s="4" t="n">
        <v>46280</v>
      </c>
      <c r="M13" s="4" t="n">
        <v>46303</v>
      </c>
      <c r="N13" s="4" t="n">
        <v>46303</v>
      </c>
      <c r="O13" s="4" t="n">
        <v>46317</v>
      </c>
      <c r="P13" s="5"/>
      <c r="Q13" s="5"/>
      <c r="R13" s="6" t="s">
        <v>62</v>
      </c>
      <c r="S13" s="2" t="s">
        <v>63</v>
      </c>
    </row>
    <row r="14" customFormat="false" ht="23.85" hidden="false" customHeight="false" outlineLevel="0" collapsed="false">
      <c r="A14" s="2" t="s">
        <v>98</v>
      </c>
      <c r="B14" s="2" t="s">
        <v>55</v>
      </c>
      <c r="C14" s="2" t="s">
        <v>56</v>
      </c>
      <c r="D14" s="2" t="s">
        <v>92</v>
      </c>
      <c r="E14" s="2" t="s">
        <v>99</v>
      </c>
      <c r="F14" s="2" t="s">
        <v>59</v>
      </c>
      <c r="G14" s="2" t="s">
        <v>100</v>
      </c>
      <c r="H14" s="2" t="s">
        <v>95</v>
      </c>
      <c r="I14" s="2" t="n">
        <v>165</v>
      </c>
      <c r="J14" s="2" t="n">
        <f aca="false">'02 SIZE_RUN'!AG14</f>
        <v>165</v>
      </c>
      <c r="K14" s="3" t="n">
        <f aca="false">J14-I14</f>
        <v>0</v>
      </c>
      <c r="L14" s="4" t="n">
        <v>46282</v>
      </c>
      <c r="M14" s="4" t="n">
        <v>46308</v>
      </c>
      <c r="N14" s="4" t="n">
        <v>46308</v>
      </c>
      <c r="O14" s="4" t="n">
        <v>46317</v>
      </c>
      <c r="P14" s="5"/>
      <c r="Q14" s="5"/>
      <c r="R14" s="6" t="s">
        <v>62</v>
      </c>
      <c r="S14" s="2" t="s">
        <v>63</v>
      </c>
    </row>
    <row r="15" customFormat="false" ht="23.85" hidden="false" customHeight="false" outlineLevel="0" collapsed="false">
      <c r="A15" s="2" t="s">
        <v>101</v>
      </c>
      <c r="B15" s="2" t="s">
        <v>55</v>
      </c>
      <c r="C15" s="2" t="s">
        <v>56</v>
      </c>
      <c r="D15" s="2" t="s">
        <v>73</v>
      </c>
      <c r="E15" s="2" t="s">
        <v>102</v>
      </c>
      <c r="F15" s="2" t="s">
        <v>59</v>
      </c>
      <c r="G15" s="2" t="s">
        <v>103</v>
      </c>
      <c r="H15" s="2" t="s">
        <v>75</v>
      </c>
      <c r="I15" s="2" t="n">
        <v>145</v>
      </c>
      <c r="J15" s="2" t="n">
        <f aca="false">'02 SIZE_RUN'!AG15</f>
        <v>145</v>
      </c>
      <c r="K15" s="3" t="n">
        <f aca="false">J15-I15</f>
        <v>0</v>
      </c>
      <c r="L15" s="4" t="n">
        <v>46282</v>
      </c>
      <c r="M15" s="4" t="n">
        <v>46308</v>
      </c>
      <c r="N15" s="4" t="n">
        <v>46308</v>
      </c>
      <c r="O15" s="4" t="n">
        <v>46317</v>
      </c>
      <c r="P15" s="5"/>
      <c r="Q15" s="5"/>
      <c r="R15" s="6" t="s">
        <v>62</v>
      </c>
      <c r="S15" s="2" t="s">
        <v>63</v>
      </c>
    </row>
    <row r="16" customFormat="false" ht="23.85" hidden="false" customHeight="false" outlineLevel="0" collapsed="false">
      <c r="A16" s="2" t="s">
        <v>104</v>
      </c>
      <c r="B16" s="2" t="s">
        <v>55</v>
      </c>
      <c r="C16" s="2" t="s">
        <v>56</v>
      </c>
      <c r="D16" s="2" t="s">
        <v>73</v>
      </c>
      <c r="E16" s="2" t="s">
        <v>105</v>
      </c>
      <c r="F16" s="2" t="s">
        <v>59</v>
      </c>
      <c r="G16" s="2" t="s">
        <v>103</v>
      </c>
      <c r="H16" s="2" t="s">
        <v>75</v>
      </c>
      <c r="I16" s="2" t="n">
        <v>325</v>
      </c>
      <c r="J16" s="2" t="n">
        <f aca="false">'02 SIZE_RUN'!AG16</f>
        <v>325</v>
      </c>
      <c r="K16" s="3" t="n">
        <f aca="false">J16-I16</f>
        <v>0</v>
      </c>
      <c r="L16" s="4" t="n">
        <v>46282</v>
      </c>
      <c r="M16" s="4" t="n">
        <v>46308</v>
      </c>
      <c r="N16" s="4" t="n">
        <v>46309</v>
      </c>
      <c r="O16" s="4" t="n">
        <v>46317</v>
      </c>
      <c r="P16" s="5"/>
      <c r="Q16" s="5"/>
      <c r="R16" s="6" t="s">
        <v>62</v>
      </c>
      <c r="S16" s="2" t="s">
        <v>63</v>
      </c>
    </row>
    <row r="17" customFormat="false" ht="23.85" hidden="false" customHeight="false" outlineLevel="0" collapsed="false">
      <c r="A17" s="2" t="s">
        <v>106</v>
      </c>
      <c r="B17" s="2" t="s">
        <v>55</v>
      </c>
      <c r="C17" s="2" t="s">
        <v>56</v>
      </c>
      <c r="D17" s="2" t="s">
        <v>73</v>
      </c>
      <c r="E17" s="2" t="s">
        <v>107</v>
      </c>
      <c r="F17" s="2" t="s">
        <v>59</v>
      </c>
      <c r="G17" s="2" t="s">
        <v>90</v>
      </c>
      <c r="H17" s="2" t="s">
        <v>75</v>
      </c>
      <c r="I17" s="2" t="n">
        <v>353</v>
      </c>
      <c r="J17" s="2" t="n">
        <f aca="false">'02 SIZE_RUN'!AG17</f>
        <v>353</v>
      </c>
      <c r="K17" s="3" t="n">
        <f aca="false">J17-I17</f>
        <v>0</v>
      </c>
      <c r="L17" s="4" t="n">
        <v>46282</v>
      </c>
      <c r="M17" s="4" t="n">
        <v>46309</v>
      </c>
      <c r="N17" s="4" t="n">
        <v>46309</v>
      </c>
      <c r="O17" s="4" t="n">
        <v>46317</v>
      </c>
      <c r="P17" s="5"/>
      <c r="Q17" s="5"/>
      <c r="R17" s="6" t="s">
        <v>62</v>
      </c>
      <c r="S17" s="2" t="s">
        <v>63</v>
      </c>
    </row>
    <row r="18" customFormat="false" ht="23.85" hidden="false" customHeight="false" outlineLevel="0" collapsed="false">
      <c r="A18" s="2" t="s">
        <v>108</v>
      </c>
      <c r="B18" s="2" t="s">
        <v>55</v>
      </c>
      <c r="C18" s="2" t="s">
        <v>56</v>
      </c>
      <c r="D18" s="2" t="s">
        <v>82</v>
      </c>
      <c r="E18" s="2" t="s">
        <v>109</v>
      </c>
      <c r="F18" s="2" t="s">
        <v>59</v>
      </c>
      <c r="G18" s="2" t="s">
        <v>94</v>
      </c>
      <c r="H18" s="2" t="s">
        <v>85</v>
      </c>
      <c r="I18" s="2" t="n">
        <v>124</v>
      </c>
      <c r="J18" s="2" t="n">
        <f aca="false">'02 SIZE_RUN'!AG18</f>
        <v>124</v>
      </c>
      <c r="K18" s="3" t="n">
        <f aca="false">J18-I18</f>
        <v>0</v>
      </c>
      <c r="L18" s="4" t="n">
        <v>46282</v>
      </c>
      <c r="M18" s="4" t="n">
        <v>46309</v>
      </c>
      <c r="N18" s="4" t="n">
        <v>46309</v>
      </c>
      <c r="O18" s="4" t="n">
        <v>46317</v>
      </c>
      <c r="P18" s="5"/>
      <c r="Q18" s="5"/>
      <c r="R18" s="6" t="s">
        <v>62</v>
      </c>
      <c r="S18" s="2" t="s">
        <v>63</v>
      </c>
    </row>
    <row r="19" customFormat="false" ht="23.85" hidden="false" customHeight="false" outlineLevel="0" collapsed="false">
      <c r="A19" s="2" t="s">
        <v>110</v>
      </c>
      <c r="B19" s="2" t="s">
        <v>55</v>
      </c>
      <c r="C19" s="2" t="s">
        <v>56</v>
      </c>
      <c r="D19" s="2" t="s">
        <v>57</v>
      </c>
      <c r="E19" s="2" t="s">
        <v>111</v>
      </c>
      <c r="F19" s="2" t="s">
        <v>59</v>
      </c>
      <c r="G19" s="2" t="s">
        <v>94</v>
      </c>
      <c r="H19" s="2" t="s">
        <v>61</v>
      </c>
      <c r="I19" s="2" t="n">
        <v>406</v>
      </c>
      <c r="J19" s="2" t="n">
        <f aca="false">'02 SIZE_RUN'!AG19</f>
        <v>406</v>
      </c>
      <c r="K19" s="3" t="n">
        <f aca="false">J19-I19</f>
        <v>0</v>
      </c>
      <c r="L19" s="4" t="n">
        <v>46287</v>
      </c>
      <c r="M19" s="4" t="n">
        <v>46309</v>
      </c>
      <c r="N19" s="4" t="n">
        <v>46310</v>
      </c>
      <c r="O19" s="4" t="n">
        <v>46317</v>
      </c>
      <c r="P19" s="5"/>
      <c r="Q19" s="5"/>
      <c r="R19" s="6" t="s">
        <v>62</v>
      </c>
      <c r="S19" s="2" t="s">
        <v>63</v>
      </c>
    </row>
    <row r="20" customFormat="false" ht="23.85" hidden="false" customHeight="false" outlineLevel="0" collapsed="false">
      <c r="A20" s="2" t="s">
        <v>112</v>
      </c>
      <c r="B20" s="2" t="s">
        <v>55</v>
      </c>
      <c r="C20" s="2" t="s">
        <v>56</v>
      </c>
      <c r="D20" s="2" t="s">
        <v>57</v>
      </c>
      <c r="E20" s="2" t="s">
        <v>113</v>
      </c>
      <c r="F20" s="2" t="s">
        <v>59</v>
      </c>
      <c r="G20" s="2" t="s">
        <v>103</v>
      </c>
      <c r="H20" s="2" t="s">
        <v>61</v>
      </c>
      <c r="I20" s="2" t="n">
        <v>455</v>
      </c>
      <c r="J20" s="2" t="n">
        <f aca="false">'02 SIZE_RUN'!AG20</f>
        <v>455</v>
      </c>
      <c r="K20" s="3" t="n">
        <f aca="false">J20-I20</f>
        <v>0</v>
      </c>
      <c r="L20" s="4" t="n">
        <v>46287</v>
      </c>
      <c r="M20" s="4" t="n">
        <v>46310</v>
      </c>
      <c r="N20" s="4" t="n">
        <v>46310</v>
      </c>
      <c r="O20" s="4" t="n">
        <v>46317</v>
      </c>
      <c r="P20" s="5"/>
      <c r="Q20" s="5"/>
      <c r="R20" s="6" t="s">
        <v>62</v>
      </c>
      <c r="S20" s="2" t="s">
        <v>63</v>
      </c>
    </row>
    <row r="21" customFormat="false" ht="23.85" hidden="false" customHeight="false" outlineLevel="0" collapsed="false">
      <c r="A21" s="2" t="s">
        <v>114</v>
      </c>
      <c r="B21" s="2" t="s">
        <v>55</v>
      </c>
      <c r="C21" s="2" t="s">
        <v>56</v>
      </c>
      <c r="D21" s="2" t="s">
        <v>92</v>
      </c>
      <c r="E21" s="2" t="s">
        <v>115</v>
      </c>
      <c r="F21" s="2" t="s">
        <v>59</v>
      </c>
      <c r="G21" s="2" t="s">
        <v>116</v>
      </c>
      <c r="H21" s="2" t="s">
        <v>95</v>
      </c>
      <c r="I21" s="2" t="n">
        <v>690</v>
      </c>
      <c r="J21" s="2" t="n">
        <f aca="false">'02 SIZE_RUN'!AG21</f>
        <v>690</v>
      </c>
      <c r="K21" s="3" t="n">
        <f aca="false">J21-I21</f>
        <v>0</v>
      </c>
      <c r="L21" s="4" t="n">
        <v>46280</v>
      </c>
      <c r="M21" s="4" t="n">
        <v>46303</v>
      </c>
      <c r="N21" s="4" t="n">
        <v>46304</v>
      </c>
      <c r="O21" s="4" t="n">
        <v>46325</v>
      </c>
      <c r="P21" s="5"/>
      <c r="Q21" s="5"/>
      <c r="R21" s="6" t="s">
        <v>62</v>
      </c>
      <c r="S21" s="2" t="s">
        <v>63</v>
      </c>
    </row>
    <row r="22" customFormat="false" ht="23.85" hidden="false" customHeight="false" outlineLevel="0" collapsed="false">
      <c r="A22" s="2" t="s">
        <v>117</v>
      </c>
      <c r="B22" s="2" t="s">
        <v>55</v>
      </c>
      <c r="C22" s="2" t="s">
        <v>56</v>
      </c>
      <c r="D22" s="2" t="s">
        <v>92</v>
      </c>
      <c r="E22" s="2" t="s">
        <v>118</v>
      </c>
      <c r="F22" s="2" t="s">
        <v>59</v>
      </c>
      <c r="G22" s="2" t="s">
        <v>116</v>
      </c>
      <c r="H22" s="2" t="s">
        <v>95</v>
      </c>
      <c r="I22" s="2" t="n">
        <v>1794</v>
      </c>
      <c r="J22" s="2" t="n">
        <f aca="false">'02 SIZE_RUN'!AG22</f>
        <v>1794</v>
      </c>
      <c r="K22" s="3" t="n">
        <f aca="false">J22-I22</f>
        <v>0</v>
      </c>
      <c r="L22" s="4" t="n">
        <v>46280</v>
      </c>
      <c r="M22" s="4" t="n">
        <v>46304</v>
      </c>
      <c r="N22" s="4" t="n">
        <v>46308</v>
      </c>
      <c r="O22" s="4" t="n">
        <v>46325</v>
      </c>
      <c r="P22" s="5"/>
      <c r="Q22" s="5"/>
      <c r="R22" s="6" t="s">
        <v>62</v>
      </c>
      <c r="S22" s="2" t="s">
        <v>63</v>
      </c>
    </row>
    <row r="23" customFormat="false" ht="23.85" hidden="false" customHeight="false" outlineLevel="0" collapsed="false">
      <c r="A23" s="2" t="s">
        <v>119</v>
      </c>
      <c r="B23" s="2" t="s">
        <v>55</v>
      </c>
      <c r="C23" s="2" t="s">
        <v>56</v>
      </c>
      <c r="D23" s="2" t="s">
        <v>92</v>
      </c>
      <c r="E23" s="2" t="s">
        <v>120</v>
      </c>
      <c r="F23" s="2" t="s">
        <v>59</v>
      </c>
      <c r="G23" s="2" t="s">
        <v>69</v>
      </c>
      <c r="H23" s="2" t="s">
        <v>95</v>
      </c>
      <c r="I23" s="2" t="n">
        <v>302</v>
      </c>
      <c r="J23" s="2" t="n">
        <f aca="false">'02 SIZE_RUN'!AG23</f>
        <v>302</v>
      </c>
      <c r="K23" s="3" t="n">
        <f aca="false">J23-I23</f>
        <v>0</v>
      </c>
      <c r="L23" s="4" t="n">
        <v>46282</v>
      </c>
      <c r="M23" s="4" t="n">
        <v>46308</v>
      </c>
      <c r="N23" s="4" t="n">
        <v>46308</v>
      </c>
      <c r="O23" s="4" t="n">
        <v>46325</v>
      </c>
      <c r="P23" s="5"/>
      <c r="Q23" s="5"/>
      <c r="R23" s="6" t="s">
        <v>62</v>
      </c>
      <c r="S23" s="2" t="s">
        <v>63</v>
      </c>
    </row>
    <row r="24" customFormat="false" ht="23.85" hidden="false" customHeight="false" outlineLevel="0" collapsed="false">
      <c r="A24" s="2" t="s">
        <v>121</v>
      </c>
      <c r="B24" s="2" t="s">
        <v>55</v>
      </c>
      <c r="C24" s="2" t="s">
        <v>56</v>
      </c>
      <c r="D24" s="2" t="s">
        <v>73</v>
      </c>
      <c r="E24" s="2" t="s">
        <v>122</v>
      </c>
      <c r="F24" s="2" t="s">
        <v>59</v>
      </c>
      <c r="G24" s="2" t="s">
        <v>123</v>
      </c>
      <c r="H24" s="2" t="s">
        <v>75</v>
      </c>
      <c r="I24" s="2" t="n">
        <v>300</v>
      </c>
      <c r="J24" s="2" t="n">
        <f aca="false">'02 SIZE_RUN'!AG24</f>
        <v>300</v>
      </c>
      <c r="K24" s="3" t="n">
        <f aca="false">J24-I24</f>
        <v>0</v>
      </c>
      <c r="L24" s="4" t="n">
        <v>46282</v>
      </c>
      <c r="M24" s="4" t="n">
        <v>46309</v>
      </c>
      <c r="N24" s="4" t="n">
        <v>46309</v>
      </c>
      <c r="O24" s="4" t="n">
        <v>46325</v>
      </c>
      <c r="P24" s="5"/>
      <c r="Q24" s="5"/>
      <c r="R24" s="6" t="s">
        <v>62</v>
      </c>
      <c r="S24" s="2" t="s">
        <v>63</v>
      </c>
    </row>
    <row r="25" customFormat="false" ht="23.85" hidden="false" customHeight="false" outlineLevel="0" collapsed="false">
      <c r="A25" s="2" t="s">
        <v>124</v>
      </c>
      <c r="B25" s="2" t="s">
        <v>55</v>
      </c>
      <c r="C25" s="2" t="s">
        <v>56</v>
      </c>
      <c r="D25" s="2" t="s">
        <v>57</v>
      </c>
      <c r="E25" s="2" t="s">
        <v>125</v>
      </c>
      <c r="F25" s="2" t="s">
        <v>59</v>
      </c>
      <c r="G25" s="2" t="s">
        <v>126</v>
      </c>
      <c r="H25" s="2" t="s">
        <v>61</v>
      </c>
      <c r="I25" s="2" t="n">
        <v>107</v>
      </c>
      <c r="J25" s="2" t="n">
        <f aca="false">'02 SIZE_RUN'!AG25</f>
        <v>107</v>
      </c>
      <c r="K25" s="3" t="n">
        <f aca="false">J25-I25</f>
        <v>0</v>
      </c>
      <c r="L25" s="4" t="n">
        <v>46287</v>
      </c>
      <c r="M25" s="4" t="n">
        <v>46310</v>
      </c>
      <c r="N25" s="4" t="n">
        <v>46310</v>
      </c>
      <c r="O25" s="4" t="n">
        <v>46325</v>
      </c>
      <c r="P25" s="5"/>
      <c r="Q25" s="5"/>
      <c r="R25" s="6" t="s">
        <v>62</v>
      </c>
      <c r="S25" s="2" t="s">
        <v>63</v>
      </c>
    </row>
    <row r="26" customFormat="false" ht="23.85" hidden="false" customHeight="false" outlineLevel="0" collapsed="false">
      <c r="A26" s="2" t="s">
        <v>127</v>
      </c>
      <c r="B26" s="2" t="s">
        <v>55</v>
      </c>
      <c r="C26" s="2" t="s">
        <v>56</v>
      </c>
      <c r="D26" s="2" t="s">
        <v>128</v>
      </c>
      <c r="E26" s="2" t="s">
        <v>129</v>
      </c>
      <c r="F26" s="2" t="s">
        <v>59</v>
      </c>
      <c r="G26" s="2" t="s">
        <v>130</v>
      </c>
      <c r="H26" s="2" t="s">
        <v>131</v>
      </c>
      <c r="I26" s="2" t="n">
        <v>106</v>
      </c>
      <c r="J26" s="2" t="n">
        <f aca="false">'02 SIZE_RUN'!AG26</f>
        <v>106</v>
      </c>
      <c r="K26" s="3" t="n">
        <f aca="false">J26-I26</f>
        <v>0</v>
      </c>
      <c r="L26" s="4" t="n">
        <v>46287</v>
      </c>
      <c r="M26" s="4" t="n">
        <v>46311</v>
      </c>
      <c r="N26" s="4" t="n">
        <v>46314</v>
      </c>
      <c r="O26" s="4" t="n">
        <v>46325</v>
      </c>
      <c r="P26" s="5"/>
      <c r="Q26" s="5"/>
      <c r="R26" s="6" t="s">
        <v>62</v>
      </c>
      <c r="S26" s="2" t="s">
        <v>63</v>
      </c>
    </row>
    <row r="27" customFormat="false" ht="23.85" hidden="false" customHeight="false" outlineLevel="0" collapsed="false">
      <c r="A27" s="2" t="s">
        <v>132</v>
      </c>
      <c r="B27" s="2" t="s">
        <v>55</v>
      </c>
      <c r="C27" s="2" t="s">
        <v>56</v>
      </c>
      <c r="D27" s="2" t="s">
        <v>128</v>
      </c>
      <c r="E27" s="2" t="s">
        <v>133</v>
      </c>
      <c r="F27" s="2" t="s">
        <v>66</v>
      </c>
      <c r="G27" s="2" t="s">
        <v>130</v>
      </c>
      <c r="H27" s="2" t="s">
        <v>131</v>
      </c>
      <c r="I27" s="2" t="n">
        <v>9</v>
      </c>
      <c r="J27" s="2" t="n">
        <f aca="false">'02 SIZE_RUN'!AG27</f>
        <v>9</v>
      </c>
      <c r="K27" s="3" t="n">
        <f aca="false">J27-I27</f>
        <v>0</v>
      </c>
      <c r="L27" s="4" t="n">
        <v>46287</v>
      </c>
      <c r="M27" s="4" t="n">
        <v>46311</v>
      </c>
      <c r="N27" s="4" t="n">
        <v>46314</v>
      </c>
      <c r="O27" s="4" t="n">
        <v>46325</v>
      </c>
      <c r="P27" s="5"/>
      <c r="Q27" s="5"/>
      <c r="R27" s="6" t="s">
        <v>62</v>
      </c>
      <c r="S27" s="2" t="s">
        <v>63</v>
      </c>
    </row>
    <row r="28" customFormat="false" ht="23.85" hidden="false" customHeight="false" outlineLevel="0" collapsed="false">
      <c r="A28" s="2" t="s">
        <v>134</v>
      </c>
      <c r="B28" s="2" t="s">
        <v>55</v>
      </c>
      <c r="C28" s="2" t="s">
        <v>56</v>
      </c>
      <c r="D28" s="2" t="s">
        <v>57</v>
      </c>
      <c r="E28" s="2" t="s">
        <v>135</v>
      </c>
      <c r="F28" s="2" t="s">
        <v>59</v>
      </c>
      <c r="G28" s="2" t="s">
        <v>90</v>
      </c>
      <c r="H28" s="2" t="s">
        <v>61</v>
      </c>
      <c r="I28" s="2" t="n">
        <v>301</v>
      </c>
      <c r="J28" s="2" t="n">
        <f aca="false">'02 SIZE_RUN'!AG28</f>
        <v>301</v>
      </c>
      <c r="K28" s="3" t="n">
        <f aca="false">J28-I28</f>
        <v>0</v>
      </c>
      <c r="L28" s="4" t="n">
        <v>46287</v>
      </c>
      <c r="M28" s="4" t="n">
        <v>46310</v>
      </c>
      <c r="N28" s="4" t="n">
        <v>46311</v>
      </c>
      <c r="O28" s="4" t="n">
        <v>46332</v>
      </c>
      <c r="P28" s="5"/>
      <c r="Q28" s="5"/>
      <c r="R28" s="6" t="s">
        <v>62</v>
      </c>
      <c r="S28" s="2" t="s">
        <v>63</v>
      </c>
    </row>
    <row r="29" customFormat="false" ht="23.85" hidden="false" customHeight="false" outlineLevel="0" collapsed="false">
      <c r="A29" s="2" t="s">
        <v>136</v>
      </c>
      <c r="B29" s="2" t="s">
        <v>55</v>
      </c>
      <c r="C29" s="2" t="s">
        <v>56</v>
      </c>
      <c r="D29" s="2" t="s">
        <v>57</v>
      </c>
      <c r="E29" s="2" t="s">
        <v>137</v>
      </c>
      <c r="F29" s="2" t="s">
        <v>59</v>
      </c>
      <c r="G29" s="2" t="s">
        <v>103</v>
      </c>
      <c r="H29" s="2" t="s">
        <v>61</v>
      </c>
      <c r="I29" s="2" t="n">
        <v>350</v>
      </c>
      <c r="J29" s="2" t="n">
        <f aca="false">'02 SIZE_RUN'!AG29</f>
        <v>350</v>
      </c>
      <c r="K29" s="3" t="n">
        <f aca="false">J29-I29</f>
        <v>0</v>
      </c>
      <c r="L29" s="4" t="n">
        <v>46287</v>
      </c>
      <c r="M29" s="4" t="n">
        <v>46311</v>
      </c>
      <c r="N29" s="4" t="n">
        <v>46311</v>
      </c>
      <c r="O29" s="4" t="n">
        <v>46332</v>
      </c>
      <c r="P29" s="5"/>
      <c r="Q29" s="5"/>
      <c r="R29" s="6" t="s">
        <v>62</v>
      </c>
      <c r="S29" s="2" t="s">
        <v>63</v>
      </c>
    </row>
    <row r="30" customFormat="false" ht="23.85" hidden="false" customHeight="false" outlineLevel="0" collapsed="false">
      <c r="A30" s="2" t="s">
        <v>138</v>
      </c>
      <c r="B30" s="2" t="s">
        <v>55</v>
      </c>
      <c r="C30" s="2" t="s">
        <v>56</v>
      </c>
      <c r="D30" s="2" t="s">
        <v>57</v>
      </c>
      <c r="E30" s="2" t="s">
        <v>139</v>
      </c>
      <c r="F30" s="2" t="s">
        <v>59</v>
      </c>
      <c r="G30" s="2" t="s">
        <v>90</v>
      </c>
      <c r="H30" s="2" t="s">
        <v>61</v>
      </c>
      <c r="I30" s="2" t="n">
        <v>362</v>
      </c>
      <c r="J30" s="2" t="n">
        <f aca="false">'02 SIZE_RUN'!AG30</f>
        <v>362</v>
      </c>
      <c r="K30" s="3" t="n">
        <f aca="false">J30-I30</f>
        <v>0</v>
      </c>
      <c r="L30" s="4" t="n">
        <v>46287</v>
      </c>
      <c r="M30" s="4" t="n">
        <v>46311</v>
      </c>
      <c r="N30" s="4" t="n">
        <v>46311</v>
      </c>
      <c r="O30" s="4" t="n">
        <v>46332</v>
      </c>
      <c r="P30" s="5"/>
      <c r="Q30" s="5"/>
      <c r="R30" s="6" t="s">
        <v>62</v>
      </c>
      <c r="S30" s="2" t="s">
        <v>63</v>
      </c>
    </row>
    <row r="31" customFormat="false" ht="23.85" hidden="false" customHeight="false" outlineLevel="0" collapsed="false">
      <c r="A31" s="2" t="s">
        <v>140</v>
      </c>
      <c r="B31" s="2" t="s">
        <v>55</v>
      </c>
      <c r="C31" s="2" t="s">
        <v>56</v>
      </c>
      <c r="D31" s="2" t="s">
        <v>128</v>
      </c>
      <c r="E31" s="2" t="s">
        <v>141</v>
      </c>
      <c r="F31" s="2" t="s">
        <v>59</v>
      </c>
      <c r="G31" s="2" t="s">
        <v>90</v>
      </c>
      <c r="H31" s="2" t="s">
        <v>131</v>
      </c>
      <c r="I31" s="2" t="n">
        <v>607</v>
      </c>
      <c r="J31" s="2" t="n">
        <f aca="false">'02 SIZE_RUN'!AG31</f>
        <v>607</v>
      </c>
      <c r="K31" s="3" t="n">
        <f aca="false">J31-I31</f>
        <v>0</v>
      </c>
      <c r="L31" s="4" t="n">
        <v>46289</v>
      </c>
      <c r="M31" s="4" t="n">
        <v>46314</v>
      </c>
      <c r="N31" s="4" t="n">
        <v>46314</v>
      </c>
      <c r="O31" s="4" t="n">
        <v>46332</v>
      </c>
      <c r="P31" s="5"/>
      <c r="Q31" s="5"/>
      <c r="R31" s="6" t="s">
        <v>62</v>
      </c>
      <c r="S31" s="2" t="s">
        <v>63</v>
      </c>
    </row>
    <row r="32" customFormat="false" ht="23.85" hidden="false" customHeight="false" outlineLevel="0" collapsed="false">
      <c r="A32" s="2" t="s">
        <v>142</v>
      </c>
      <c r="B32" s="2" t="s">
        <v>55</v>
      </c>
      <c r="C32" s="2" t="s">
        <v>56</v>
      </c>
      <c r="D32" s="2" t="s">
        <v>82</v>
      </c>
      <c r="E32" s="2" t="s">
        <v>143</v>
      </c>
      <c r="F32" s="2" t="s">
        <v>59</v>
      </c>
      <c r="G32" s="2" t="s">
        <v>130</v>
      </c>
      <c r="H32" s="2" t="s">
        <v>85</v>
      </c>
      <c r="I32" s="2" t="n">
        <v>435</v>
      </c>
      <c r="J32" s="2" t="n">
        <f aca="false">'02 SIZE_RUN'!AG32</f>
        <v>435</v>
      </c>
      <c r="K32" s="3" t="n">
        <f aca="false">J32-I32</f>
        <v>0</v>
      </c>
      <c r="L32" s="4" t="n">
        <v>46289</v>
      </c>
      <c r="M32" s="4" t="n">
        <v>46314</v>
      </c>
      <c r="N32" s="4" t="n">
        <v>46315</v>
      </c>
      <c r="O32" s="4" t="n">
        <v>46332</v>
      </c>
      <c r="P32" s="5"/>
      <c r="Q32" s="5"/>
      <c r="R32" s="6" t="s">
        <v>62</v>
      </c>
      <c r="S32" s="2" t="s">
        <v>63</v>
      </c>
    </row>
    <row r="33" customFormat="false" ht="23.85" hidden="false" customHeight="false" outlineLevel="0" collapsed="false">
      <c r="A33" s="2" t="s">
        <v>144</v>
      </c>
      <c r="B33" s="2" t="s">
        <v>55</v>
      </c>
      <c r="C33" s="2" t="s">
        <v>56</v>
      </c>
      <c r="D33" s="2" t="s">
        <v>82</v>
      </c>
      <c r="E33" s="2" t="s">
        <v>145</v>
      </c>
      <c r="F33" s="2" t="s">
        <v>59</v>
      </c>
      <c r="G33" s="2" t="s">
        <v>90</v>
      </c>
      <c r="H33" s="2" t="s">
        <v>85</v>
      </c>
      <c r="I33" s="2" t="n">
        <v>1100</v>
      </c>
      <c r="J33" s="2" t="n">
        <f aca="false">'02 SIZE_RUN'!AG33</f>
        <v>1100</v>
      </c>
      <c r="K33" s="3" t="n">
        <f aca="false">J33-I33</f>
        <v>0</v>
      </c>
      <c r="L33" s="4" t="n">
        <v>46289</v>
      </c>
      <c r="M33" s="4" t="n">
        <v>46315</v>
      </c>
      <c r="N33" s="4" t="n">
        <v>46316</v>
      </c>
      <c r="O33" s="4" t="n">
        <v>46332</v>
      </c>
      <c r="P33" s="5"/>
      <c r="Q33" s="5"/>
      <c r="R33" s="6" t="s">
        <v>62</v>
      </c>
      <c r="S33" s="2" t="s">
        <v>63</v>
      </c>
    </row>
    <row r="34" customFormat="false" ht="23.85" hidden="false" customHeight="false" outlineLevel="0" collapsed="false">
      <c r="A34" s="2" t="s">
        <v>146</v>
      </c>
      <c r="B34" s="2" t="s">
        <v>55</v>
      </c>
      <c r="C34" s="2" t="s">
        <v>56</v>
      </c>
      <c r="D34" s="2" t="s">
        <v>73</v>
      </c>
      <c r="E34" s="2" t="s">
        <v>147</v>
      </c>
      <c r="F34" s="2" t="s">
        <v>59</v>
      </c>
      <c r="G34" s="2" t="s">
        <v>130</v>
      </c>
      <c r="H34" s="2" t="s">
        <v>75</v>
      </c>
      <c r="I34" s="2" t="n">
        <v>365</v>
      </c>
      <c r="J34" s="2" t="n">
        <f aca="false">'02 SIZE_RUN'!AG34</f>
        <v>365</v>
      </c>
      <c r="K34" s="3" t="n">
        <f aca="false">J34-I34</f>
        <v>0</v>
      </c>
      <c r="L34" s="4" t="n">
        <v>46289</v>
      </c>
      <c r="M34" s="4" t="n">
        <v>46316</v>
      </c>
      <c r="N34" s="4" t="n">
        <v>46316</v>
      </c>
      <c r="O34" s="4" t="n">
        <v>46332</v>
      </c>
      <c r="P34" s="5"/>
      <c r="Q34" s="5"/>
      <c r="R34" s="6" t="s">
        <v>62</v>
      </c>
      <c r="S34" s="2" t="s">
        <v>63</v>
      </c>
    </row>
    <row r="35" customFormat="false" ht="23.85" hidden="false" customHeight="false" outlineLevel="0" collapsed="false">
      <c r="A35" s="2" t="s">
        <v>148</v>
      </c>
      <c r="B35" s="2" t="s">
        <v>55</v>
      </c>
      <c r="C35" s="2" t="s">
        <v>56</v>
      </c>
      <c r="D35" s="2" t="s">
        <v>73</v>
      </c>
      <c r="E35" s="2" t="s">
        <v>149</v>
      </c>
      <c r="F35" s="2" t="s">
        <v>59</v>
      </c>
      <c r="G35" s="2" t="s">
        <v>103</v>
      </c>
      <c r="H35" s="2" t="s">
        <v>75</v>
      </c>
      <c r="I35" s="2" t="n">
        <v>370</v>
      </c>
      <c r="J35" s="2" t="n">
        <f aca="false">'02 SIZE_RUN'!AG35</f>
        <v>370</v>
      </c>
      <c r="K35" s="3" t="n">
        <f aca="false">J35-I35</f>
        <v>0</v>
      </c>
      <c r="L35" s="4" t="n">
        <v>46289</v>
      </c>
      <c r="M35" s="4" t="n">
        <v>46316</v>
      </c>
      <c r="N35" s="4" t="n">
        <v>46317</v>
      </c>
      <c r="O35" s="4" t="n">
        <v>46332</v>
      </c>
      <c r="P35" s="5"/>
      <c r="Q35" s="5"/>
      <c r="R35" s="6" t="s">
        <v>62</v>
      </c>
      <c r="S35" s="2" t="s">
        <v>63</v>
      </c>
    </row>
    <row r="36" customFormat="false" ht="23.85" hidden="false" customHeight="false" outlineLevel="0" collapsed="false">
      <c r="A36" s="2" t="s">
        <v>150</v>
      </c>
      <c r="B36" s="2" t="s">
        <v>55</v>
      </c>
      <c r="C36" s="2" t="s">
        <v>56</v>
      </c>
      <c r="D36" s="2" t="s">
        <v>73</v>
      </c>
      <c r="E36" s="2" t="s">
        <v>151</v>
      </c>
      <c r="F36" s="2" t="s">
        <v>59</v>
      </c>
      <c r="G36" s="2" t="s">
        <v>90</v>
      </c>
      <c r="H36" s="2" t="s">
        <v>75</v>
      </c>
      <c r="I36" s="2" t="n">
        <v>618</v>
      </c>
      <c r="J36" s="2" t="n">
        <f aca="false">'02 SIZE_RUN'!AG36</f>
        <v>618</v>
      </c>
      <c r="K36" s="3" t="n">
        <f aca="false">J36-I36</f>
        <v>0</v>
      </c>
      <c r="L36" s="4" t="n">
        <v>46289</v>
      </c>
      <c r="M36" s="4" t="n">
        <v>46317</v>
      </c>
      <c r="N36" s="4" t="n">
        <v>46317</v>
      </c>
      <c r="O36" s="4" t="n">
        <v>46332</v>
      </c>
      <c r="P36" s="5"/>
      <c r="Q36" s="5"/>
      <c r="R36" s="6" t="s">
        <v>62</v>
      </c>
      <c r="S36" s="2" t="s">
        <v>63</v>
      </c>
    </row>
    <row r="37" customFormat="false" ht="23.85" hidden="false" customHeight="false" outlineLevel="0" collapsed="false">
      <c r="A37" s="2" t="s">
        <v>152</v>
      </c>
      <c r="B37" s="2" t="s">
        <v>153</v>
      </c>
      <c r="C37" s="2" t="s">
        <v>56</v>
      </c>
      <c r="D37" s="2" t="s">
        <v>154</v>
      </c>
      <c r="E37" s="2" t="s">
        <v>155</v>
      </c>
      <c r="F37" s="2" t="s">
        <v>59</v>
      </c>
      <c r="G37" s="2" t="s">
        <v>156</v>
      </c>
      <c r="H37" s="2" t="s">
        <v>157</v>
      </c>
      <c r="I37" s="2" t="n">
        <v>351</v>
      </c>
      <c r="J37" s="2" t="n">
        <f aca="false">'02 SIZE_RUN'!AG37</f>
        <v>351</v>
      </c>
      <c r="K37" s="3" t="n">
        <f aca="false">J37-I37</f>
        <v>0</v>
      </c>
      <c r="L37" s="4" t="n">
        <v>46275</v>
      </c>
      <c r="M37" s="4" t="n">
        <v>46295</v>
      </c>
      <c r="N37" s="4" t="n">
        <v>46295</v>
      </c>
      <c r="O37" s="4" t="n">
        <v>46309</v>
      </c>
      <c r="P37" s="5"/>
      <c r="Q37" s="5"/>
      <c r="R37" s="6" t="s">
        <v>62</v>
      </c>
      <c r="S37" s="2" t="s">
        <v>63</v>
      </c>
    </row>
    <row r="38" customFormat="false" ht="23.85" hidden="false" customHeight="false" outlineLevel="0" collapsed="false">
      <c r="A38" s="2" t="s">
        <v>158</v>
      </c>
      <c r="B38" s="2" t="s">
        <v>153</v>
      </c>
      <c r="C38" s="2" t="s">
        <v>56</v>
      </c>
      <c r="D38" s="2" t="s">
        <v>154</v>
      </c>
      <c r="E38" s="2" t="s">
        <v>159</v>
      </c>
      <c r="F38" s="2" t="s">
        <v>59</v>
      </c>
      <c r="G38" s="2" t="s">
        <v>160</v>
      </c>
      <c r="H38" s="2" t="s">
        <v>157</v>
      </c>
      <c r="I38" s="2" t="n">
        <v>525</v>
      </c>
      <c r="J38" s="2" t="n">
        <f aca="false">'02 SIZE_RUN'!AG38</f>
        <v>525</v>
      </c>
      <c r="K38" s="3" t="n">
        <f aca="false">J38-I38</f>
        <v>0</v>
      </c>
      <c r="L38" s="4" t="n">
        <v>46275</v>
      </c>
      <c r="M38" s="4" t="n">
        <v>46295</v>
      </c>
      <c r="N38" s="4" t="n">
        <v>46295</v>
      </c>
      <c r="O38" s="4" t="n">
        <v>46309</v>
      </c>
      <c r="P38" s="5"/>
      <c r="Q38" s="5"/>
      <c r="R38" s="6" t="s">
        <v>62</v>
      </c>
      <c r="S38" s="2" t="s">
        <v>63</v>
      </c>
    </row>
    <row r="39" customFormat="false" ht="23.85" hidden="false" customHeight="false" outlineLevel="0" collapsed="false">
      <c r="A39" s="2" t="s">
        <v>161</v>
      </c>
      <c r="B39" s="2" t="s">
        <v>153</v>
      </c>
      <c r="C39" s="2" t="s">
        <v>56</v>
      </c>
      <c r="D39" s="2" t="s">
        <v>154</v>
      </c>
      <c r="E39" s="2" t="s">
        <v>162</v>
      </c>
      <c r="F39" s="2" t="s">
        <v>59</v>
      </c>
      <c r="G39" s="2" t="s">
        <v>84</v>
      </c>
      <c r="H39" s="2" t="s">
        <v>157</v>
      </c>
      <c r="I39" s="2" t="n">
        <v>852</v>
      </c>
      <c r="J39" s="2" t="n">
        <f aca="false">'02 SIZE_RUN'!AG39</f>
        <v>852</v>
      </c>
      <c r="K39" s="3" t="n">
        <f aca="false">J39-I39</f>
        <v>0</v>
      </c>
      <c r="L39" s="4" t="n">
        <v>46275</v>
      </c>
      <c r="M39" s="4" t="n">
        <v>46295</v>
      </c>
      <c r="N39" s="4" t="n">
        <v>46296</v>
      </c>
      <c r="O39" s="4" t="n">
        <v>46309</v>
      </c>
      <c r="P39" s="5"/>
      <c r="Q39" s="5"/>
      <c r="R39" s="6" t="s">
        <v>62</v>
      </c>
      <c r="S39" s="2" t="s">
        <v>63</v>
      </c>
    </row>
    <row r="40" customFormat="false" ht="23.85" hidden="false" customHeight="false" outlineLevel="0" collapsed="false">
      <c r="A40" s="2" t="s">
        <v>163</v>
      </c>
      <c r="B40" s="2" t="s">
        <v>153</v>
      </c>
      <c r="C40" s="2" t="s">
        <v>56</v>
      </c>
      <c r="D40" s="2" t="s">
        <v>164</v>
      </c>
      <c r="E40" s="2" t="s">
        <v>165</v>
      </c>
      <c r="F40" s="2" t="s">
        <v>59</v>
      </c>
      <c r="G40" s="2" t="s">
        <v>69</v>
      </c>
      <c r="H40" s="2" t="s">
        <v>166</v>
      </c>
      <c r="I40" s="2" t="n">
        <v>650</v>
      </c>
      <c r="J40" s="2" t="n">
        <f aca="false">'02 SIZE_RUN'!AG40</f>
        <v>650</v>
      </c>
      <c r="K40" s="3" t="n">
        <f aca="false">J40-I40</f>
        <v>0</v>
      </c>
      <c r="L40" s="4" t="n">
        <v>46275</v>
      </c>
      <c r="M40" s="4" t="n">
        <v>46296</v>
      </c>
      <c r="N40" s="4" t="n">
        <v>46297</v>
      </c>
      <c r="O40" s="4" t="n">
        <v>46309</v>
      </c>
      <c r="P40" s="5"/>
      <c r="Q40" s="5"/>
      <c r="R40" s="6" t="s">
        <v>62</v>
      </c>
      <c r="S40" s="2" t="s">
        <v>63</v>
      </c>
    </row>
    <row r="41" customFormat="false" ht="23.85" hidden="false" customHeight="false" outlineLevel="0" collapsed="false">
      <c r="A41" s="2" t="s">
        <v>167</v>
      </c>
      <c r="B41" s="2" t="s">
        <v>153</v>
      </c>
      <c r="C41" s="2" t="s">
        <v>56</v>
      </c>
      <c r="D41" s="2" t="s">
        <v>164</v>
      </c>
      <c r="E41" s="2" t="s">
        <v>168</v>
      </c>
      <c r="F41" s="2" t="s">
        <v>59</v>
      </c>
      <c r="G41" s="2" t="s">
        <v>69</v>
      </c>
      <c r="H41" s="2" t="s">
        <v>166</v>
      </c>
      <c r="I41" s="2" t="n">
        <v>650</v>
      </c>
      <c r="J41" s="2" t="n">
        <f aca="false">'02 SIZE_RUN'!AG41</f>
        <v>650</v>
      </c>
      <c r="K41" s="3" t="n">
        <f aca="false">J41-I41</f>
        <v>0</v>
      </c>
      <c r="L41" s="4" t="n">
        <v>46275</v>
      </c>
      <c r="M41" s="4" t="n">
        <v>46297</v>
      </c>
      <c r="N41" s="4" t="n">
        <v>46300</v>
      </c>
      <c r="O41" s="4" t="n">
        <v>46309</v>
      </c>
      <c r="P41" s="5"/>
      <c r="Q41" s="5"/>
      <c r="R41" s="6" t="s">
        <v>62</v>
      </c>
      <c r="S41" s="2" t="s">
        <v>63</v>
      </c>
    </row>
    <row r="42" customFormat="false" ht="23.85" hidden="false" customHeight="false" outlineLevel="0" collapsed="false">
      <c r="A42" s="2" t="s">
        <v>169</v>
      </c>
      <c r="B42" s="2" t="s">
        <v>153</v>
      </c>
      <c r="C42" s="2" t="s">
        <v>56</v>
      </c>
      <c r="D42" s="2" t="s">
        <v>164</v>
      </c>
      <c r="E42" s="2" t="s">
        <v>170</v>
      </c>
      <c r="F42" s="2" t="s">
        <v>59</v>
      </c>
      <c r="G42" s="2" t="s">
        <v>84</v>
      </c>
      <c r="H42" s="2" t="s">
        <v>166</v>
      </c>
      <c r="I42" s="2" t="n">
        <v>300</v>
      </c>
      <c r="J42" s="2" t="n">
        <f aca="false">'02 SIZE_RUN'!AG42</f>
        <v>300</v>
      </c>
      <c r="K42" s="3" t="n">
        <f aca="false">J42-I42</f>
        <v>0</v>
      </c>
      <c r="L42" s="4" t="n">
        <v>46275</v>
      </c>
      <c r="M42" s="4" t="n">
        <v>46300</v>
      </c>
      <c r="N42" s="4" t="n">
        <v>46300</v>
      </c>
      <c r="O42" s="4" t="n">
        <v>46309</v>
      </c>
      <c r="P42" s="5"/>
      <c r="Q42" s="5"/>
      <c r="R42" s="6" t="s">
        <v>62</v>
      </c>
      <c r="S42" s="2" t="s">
        <v>63</v>
      </c>
    </row>
    <row r="43" customFormat="false" ht="23.85" hidden="false" customHeight="false" outlineLevel="0" collapsed="false">
      <c r="A43" s="2" t="s">
        <v>171</v>
      </c>
      <c r="B43" s="2" t="s">
        <v>153</v>
      </c>
      <c r="C43" s="2" t="s">
        <v>56</v>
      </c>
      <c r="D43" s="2" t="s">
        <v>172</v>
      </c>
      <c r="E43" s="2" t="s">
        <v>173</v>
      </c>
      <c r="F43" s="2" t="s">
        <v>59</v>
      </c>
      <c r="G43" s="2" t="s">
        <v>174</v>
      </c>
      <c r="H43" s="2" t="s">
        <v>175</v>
      </c>
      <c r="I43" s="2" t="n">
        <v>300</v>
      </c>
      <c r="J43" s="2" t="n">
        <f aca="false">'02 SIZE_RUN'!AG43</f>
        <v>300</v>
      </c>
      <c r="K43" s="3" t="n">
        <f aca="false">J43-I43</f>
        <v>0</v>
      </c>
      <c r="L43" s="4" t="n">
        <v>46275</v>
      </c>
      <c r="M43" s="4" t="n">
        <v>46300</v>
      </c>
      <c r="N43" s="4" t="n">
        <v>46300</v>
      </c>
      <c r="O43" s="4" t="n">
        <v>46309</v>
      </c>
      <c r="P43" s="5"/>
      <c r="Q43" s="5"/>
      <c r="R43" s="6" t="s">
        <v>62</v>
      </c>
      <c r="S43" s="2" t="s">
        <v>63</v>
      </c>
    </row>
    <row r="44" customFormat="false" ht="23.85" hidden="false" customHeight="false" outlineLevel="0" collapsed="false">
      <c r="A44" s="2" t="s">
        <v>176</v>
      </c>
      <c r="B44" s="2" t="s">
        <v>153</v>
      </c>
      <c r="C44" s="2" t="s">
        <v>56</v>
      </c>
      <c r="D44" s="2" t="s">
        <v>172</v>
      </c>
      <c r="E44" s="2" t="s">
        <v>177</v>
      </c>
      <c r="F44" s="2" t="s">
        <v>59</v>
      </c>
      <c r="G44" s="2" t="s">
        <v>178</v>
      </c>
      <c r="H44" s="2" t="s">
        <v>175</v>
      </c>
      <c r="I44" s="2" t="n">
        <v>360</v>
      </c>
      <c r="J44" s="2" t="n">
        <f aca="false">'02 SIZE_RUN'!AG44</f>
        <v>360</v>
      </c>
      <c r="K44" s="3" t="n">
        <f aca="false">J44-I44</f>
        <v>0</v>
      </c>
      <c r="L44" s="4" t="n">
        <v>46275</v>
      </c>
      <c r="M44" s="4" t="n">
        <v>46300</v>
      </c>
      <c r="N44" s="4" t="n">
        <v>46301</v>
      </c>
      <c r="O44" s="4" t="n">
        <v>46309</v>
      </c>
      <c r="P44" s="5"/>
      <c r="Q44" s="5"/>
      <c r="R44" s="6" t="s">
        <v>62</v>
      </c>
      <c r="S44" s="2" t="s">
        <v>63</v>
      </c>
    </row>
    <row r="45" customFormat="false" ht="23.85" hidden="false" customHeight="false" outlineLevel="0" collapsed="false">
      <c r="A45" s="2" t="s">
        <v>179</v>
      </c>
      <c r="B45" s="2" t="s">
        <v>153</v>
      </c>
      <c r="C45" s="2" t="s">
        <v>56</v>
      </c>
      <c r="D45" s="2" t="s">
        <v>172</v>
      </c>
      <c r="E45" s="2" t="s">
        <v>180</v>
      </c>
      <c r="F45" s="2" t="s">
        <v>59</v>
      </c>
      <c r="G45" s="2" t="s">
        <v>160</v>
      </c>
      <c r="H45" s="2" t="s">
        <v>175</v>
      </c>
      <c r="I45" s="2" t="n">
        <v>530</v>
      </c>
      <c r="J45" s="2" t="n">
        <f aca="false">'02 SIZE_RUN'!AG45</f>
        <v>530</v>
      </c>
      <c r="K45" s="3" t="n">
        <f aca="false">J45-I45</f>
        <v>0</v>
      </c>
      <c r="L45" s="4" t="n">
        <v>46275</v>
      </c>
      <c r="M45" s="4" t="n">
        <v>46301</v>
      </c>
      <c r="N45" s="4" t="n">
        <v>46301</v>
      </c>
      <c r="O45" s="4" t="n">
        <v>46309</v>
      </c>
      <c r="P45" s="5"/>
      <c r="Q45" s="5"/>
      <c r="R45" s="6" t="s">
        <v>62</v>
      </c>
      <c r="S45" s="2" t="s">
        <v>63</v>
      </c>
    </row>
    <row r="46" customFormat="false" ht="23.85" hidden="false" customHeight="false" outlineLevel="0" collapsed="false">
      <c r="A46" s="2" t="s">
        <v>181</v>
      </c>
      <c r="B46" s="2" t="s">
        <v>153</v>
      </c>
      <c r="C46" s="2" t="s">
        <v>56</v>
      </c>
      <c r="D46" s="2" t="s">
        <v>172</v>
      </c>
      <c r="E46" s="2" t="s">
        <v>182</v>
      </c>
      <c r="F46" s="2" t="s">
        <v>59</v>
      </c>
      <c r="G46" s="2" t="s">
        <v>84</v>
      </c>
      <c r="H46" s="2" t="s">
        <v>175</v>
      </c>
      <c r="I46" s="2" t="n">
        <v>564</v>
      </c>
      <c r="J46" s="2" t="n">
        <f aca="false">'02 SIZE_RUN'!AG46</f>
        <v>564</v>
      </c>
      <c r="K46" s="3" t="n">
        <f aca="false">J46-I46</f>
        <v>0</v>
      </c>
      <c r="L46" s="4" t="n">
        <v>46275</v>
      </c>
      <c r="M46" s="4" t="n">
        <v>46301</v>
      </c>
      <c r="N46" s="4" t="n">
        <v>46302</v>
      </c>
      <c r="O46" s="4" t="n">
        <v>46309</v>
      </c>
      <c r="P46" s="5"/>
      <c r="Q46" s="5"/>
      <c r="R46" s="6" t="s">
        <v>62</v>
      </c>
      <c r="S46" s="2" t="s">
        <v>63</v>
      </c>
    </row>
    <row r="47" customFormat="false" ht="23.85" hidden="false" customHeight="false" outlineLevel="0" collapsed="false">
      <c r="A47" s="2" t="s">
        <v>183</v>
      </c>
      <c r="B47" s="2" t="s">
        <v>153</v>
      </c>
      <c r="C47" s="2" t="s">
        <v>56</v>
      </c>
      <c r="D47" s="2" t="s">
        <v>172</v>
      </c>
      <c r="E47" s="2" t="s">
        <v>184</v>
      </c>
      <c r="F47" s="2" t="s">
        <v>59</v>
      </c>
      <c r="G47" s="2" t="s">
        <v>156</v>
      </c>
      <c r="H47" s="2" t="s">
        <v>175</v>
      </c>
      <c r="I47" s="2" t="n">
        <v>983</v>
      </c>
      <c r="J47" s="2" t="n">
        <f aca="false">'02 SIZE_RUN'!AG47</f>
        <v>983</v>
      </c>
      <c r="K47" s="3" t="n">
        <f aca="false">J47-I47</f>
        <v>0</v>
      </c>
      <c r="L47" s="4" t="n">
        <v>46280</v>
      </c>
      <c r="M47" s="4" t="n">
        <v>46302</v>
      </c>
      <c r="N47" s="4" t="n">
        <v>46303</v>
      </c>
      <c r="O47" s="4" t="n">
        <v>46309</v>
      </c>
      <c r="P47" s="5"/>
      <c r="Q47" s="5"/>
      <c r="R47" s="6" t="s">
        <v>62</v>
      </c>
      <c r="S47" s="2" t="s">
        <v>63</v>
      </c>
    </row>
    <row r="48" customFormat="false" ht="23.85" hidden="false" customHeight="false" outlineLevel="0" collapsed="false">
      <c r="A48" s="2" t="s">
        <v>185</v>
      </c>
      <c r="B48" s="2" t="s">
        <v>153</v>
      </c>
      <c r="C48" s="2" t="s">
        <v>56</v>
      </c>
      <c r="D48" s="2" t="s">
        <v>172</v>
      </c>
      <c r="E48" s="2" t="s">
        <v>186</v>
      </c>
      <c r="F48" s="2" t="s">
        <v>59</v>
      </c>
      <c r="G48" s="2" t="s">
        <v>187</v>
      </c>
      <c r="H48" s="2" t="s">
        <v>175</v>
      </c>
      <c r="I48" s="2" t="n">
        <v>1470</v>
      </c>
      <c r="J48" s="2" t="n">
        <f aca="false">'02 SIZE_RUN'!AG48</f>
        <v>1470</v>
      </c>
      <c r="K48" s="3" t="n">
        <f aca="false">J48-I48</f>
        <v>0</v>
      </c>
      <c r="L48" s="4" t="n">
        <v>46280</v>
      </c>
      <c r="M48" s="4" t="n">
        <v>46303</v>
      </c>
      <c r="N48" s="4" t="n">
        <v>46304</v>
      </c>
      <c r="O48" s="4" t="n">
        <v>46317</v>
      </c>
      <c r="P48" s="5"/>
      <c r="Q48" s="5"/>
      <c r="R48" s="6" t="s">
        <v>62</v>
      </c>
      <c r="S48" s="2" t="s">
        <v>63</v>
      </c>
    </row>
    <row r="49" customFormat="false" ht="23.85" hidden="false" customHeight="false" outlineLevel="0" collapsed="false">
      <c r="A49" s="2" t="s">
        <v>188</v>
      </c>
      <c r="B49" s="2" t="s">
        <v>153</v>
      </c>
      <c r="C49" s="2" t="s">
        <v>56</v>
      </c>
      <c r="D49" s="2" t="s">
        <v>172</v>
      </c>
      <c r="E49" s="2" t="s">
        <v>189</v>
      </c>
      <c r="F49" s="2" t="s">
        <v>66</v>
      </c>
      <c r="G49" s="2" t="s">
        <v>187</v>
      </c>
      <c r="H49" s="2" t="s">
        <v>175</v>
      </c>
      <c r="I49" s="2" t="n">
        <v>9</v>
      </c>
      <c r="J49" s="2" t="n">
        <f aca="false">'02 SIZE_RUN'!AG49</f>
        <v>9</v>
      </c>
      <c r="K49" s="3" t="n">
        <f aca="false">J49-I49</f>
        <v>0</v>
      </c>
      <c r="L49" s="4" t="n">
        <v>46280</v>
      </c>
      <c r="M49" s="4" t="n">
        <v>46303</v>
      </c>
      <c r="N49" s="4" t="n">
        <v>46304</v>
      </c>
      <c r="O49" s="4" t="n">
        <v>46317</v>
      </c>
      <c r="P49" s="5"/>
      <c r="Q49" s="5"/>
      <c r="R49" s="6" t="s">
        <v>62</v>
      </c>
      <c r="S49" s="2" t="s">
        <v>63</v>
      </c>
    </row>
    <row r="50" customFormat="false" ht="23.85" hidden="false" customHeight="false" outlineLevel="0" collapsed="false">
      <c r="A50" s="2" t="s">
        <v>190</v>
      </c>
      <c r="B50" s="2" t="s">
        <v>153</v>
      </c>
      <c r="C50" s="2" t="s">
        <v>56</v>
      </c>
      <c r="D50" s="2" t="s">
        <v>172</v>
      </c>
      <c r="E50" s="2" t="s">
        <v>191</v>
      </c>
      <c r="F50" s="2" t="s">
        <v>59</v>
      </c>
      <c r="G50" s="2" t="s">
        <v>187</v>
      </c>
      <c r="H50" s="2" t="s">
        <v>175</v>
      </c>
      <c r="I50" s="2" t="n">
        <v>1950</v>
      </c>
      <c r="J50" s="2" t="n">
        <f aca="false">'02 SIZE_RUN'!AG50</f>
        <v>1950</v>
      </c>
      <c r="K50" s="3" t="n">
        <f aca="false">J50-I50</f>
        <v>0</v>
      </c>
      <c r="L50" s="4" t="n">
        <v>46282</v>
      </c>
      <c r="M50" s="4" t="n">
        <v>46304</v>
      </c>
      <c r="N50" s="4" t="n">
        <v>46308</v>
      </c>
      <c r="O50" s="4" t="n">
        <v>46317</v>
      </c>
      <c r="P50" s="5"/>
      <c r="Q50" s="5"/>
      <c r="R50" s="6" t="s">
        <v>62</v>
      </c>
      <c r="S50" s="2" t="s">
        <v>63</v>
      </c>
    </row>
    <row r="51" customFormat="false" ht="23.85" hidden="false" customHeight="false" outlineLevel="0" collapsed="false">
      <c r="A51" s="2" t="s">
        <v>192</v>
      </c>
      <c r="B51" s="2" t="s">
        <v>153</v>
      </c>
      <c r="C51" s="2" t="s">
        <v>56</v>
      </c>
      <c r="D51" s="2" t="s">
        <v>154</v>
      </c>
      <c r="E51" s="2" t="s">
        <v>193</v>
      </c>
      <c r="F51" s="2" t="s">
        <v>59</v>
      </c>
      <c r="G51" s="2" t="s">
        <v>194</v>
      </c>
      <c r="H51" s="2" t="s">
        <v>157</v>
      </c>
      <c r="I51" s="2" t="n">
        <v>365</v>
      </c>
      <c r="J51" s="2" t="n">
        <f aca="false">'02 SIZE_RUN'!AG51</f>
        <v>365</v>
      </c>
      <c r="K51" s="3" t="n">
        <f aca="false">J51-I51</f>
        <v>0</v>
      </c>
      <c r="L51" s="4" t="n">
        <v>46282</v>
      </c>
      <c r="M51" s="4" t="n">
        <v>46308</v>
      </c>
      <c r="N51" s="4" t="n">
        <v>46309</v>
      </c>
      <c r="O51" s="4" t="n">
        <v>46315</v>
      </c>
      <c r="P51" s="5"/>
      <c r="Q51" s="5"/>
      <c r="R51" s="6" t="s">
        <v>62</v>
      </c>
      <c r="S51" s="2" t="s">
        <v>63</v>
      </c>
    </row>
    <row r="52" customFormat="false" ht="23.85" hidden="false" customHeight="false" outlineLevel="0" collapsed="false">
      <c r="A52" s="2" t="s">
        <v>195</v>
      </c>
      <c r="B52" s="2" t="s">
        <v>153</v>
      </c>
      <c r="C52" s="2" t="s">
        <v>56</v>
      </c>
      <c r="D52" s="2" t="s">
        <v>154</v>
      </c>
      <c r="E52" s="2" t="s">
        <v>196</v>
      </c>
      <c r="F52" s="2" t="s">
        <v>59</v>
      </c>
      <c r="G52" s="2" t="s">
        <v>94</v>
      </c>
      <c r="H52" s="2" t="s">
        <v>157</v>
      </c>
      <c r="I52" s="2" t="n">
        <v>419</v>
      </c>
      <c r="J52" s="2" t="n">
        <f aca="false">'02 SIZE_RUN'!AG52</f>
        <v>419</v>
      </c>
      <c r="K52" s="3" t="n">
        <f aca="false">J52-I52</f>
        <v>0</v>
      </c>
      <c r="L52" s="4" t="n">
        <v>46287</v>
      </c>
      <c r="M52" s="4" t="n">
        <v>46309</v>
      </c>
      <c r="N52" s="4" t="n">
        <v>46309</v>
      </c>
      <c r="O52" s="4" t="n">
        <v>46317</v>
      </c>
      <c r="P52" s="5"/>
      <c r="Q52" s="5"/>
      <c r="R52" s="6" t="s">
        <v>62</v>
      </c>
      <c r="S52" s="2" t="s">
        <v>63</v>
      </c>
    </row>
    <row r="53" customFormat="false" ht="23.85" hidden="false" customHeight="false" outlineLevel="0" collapsed="false">
      <c r="A53" s="2" t="s">
        <v>197</v>
      </c>
      <c r="B53" s="2" t="s">
        <v>153</v>
      </c>
      <c r="C53" s="2" t="s">
        <v>56</v>
      </c>
      <c r="D53" s="2" t="s">
        <v>154</v>
      </c>
      <c r="E53" s="2" t="s">
        <v>198</v>
      </c>
      <c r="F53" s="2" t="s">
        <v>59</v>
      </c>
      <c r="G53" s="2" t="s">
        <v>94</v>
      </c>
      <c r="H53" s="2" t="s">
        <v>157</v>
      </c>
      <c r="I53" s="2" t="n">
        <v>190</v>
      </c>
      <c r="J53" s="2" t="n">
        <f aca="false">'02 SIZE_RUN'!AG53</f>
        <v>190</v>
      </c>
      <c r="K53" s="3" t="n">
        <f aca="false">J53-I53</f>
        <v>0</v>
      </c>
      <c r="L53" s="4" t="n">
        <v>46287</v>
      </c>
      <c r="M53" s="4" t="n">
        <v>46309</v>
      </c>
      <c r="N53" s="4" t="n">
        <v>46309</v>
      </c>
      <c r="O53" s="4" t="n">
        <v>46325</v>
      </c>
      <c r="P53" s="5"/>
      <c r="Q53" s="5"/>
      <c r="R53" s="6" t="s">
        <v>62</v>
      </c>
      <c r="S53" s="2" t="s">
        <v>63</v>
      </c>
    </row>
    <row r="54" customFormat="false" ht="23.85" hidden="false" customHeight="false" outlineLevel="0" collapsed="false">
      <c r="A54" s="2" t="s">
        <v>199</v>
      </c>
      <c r="B54" s="2" t="s">
        <v>153</v>
      </c>
      <c r="C54" s="2" t="s">
        <v>56</v>
      </c>
      <c r="D54" s="2" t="s">
        <v>154</v>
      </c>
      <c r="E54" s="2" t="s">
        <v>200</v>
      </c>
      <c r="F54" s="2" t="s">
        <v>59</v>
      </c>
      <c r="G54" s="2" t="s">
        <v>116</v>
      </c>
      <c r="H54" s="2" t="s">
        <v>157</v>
      </c>
      <c r="I54" s="2" t="n">
        <v>690</v>
      </c>
      <c r="J54" s="2" t="n">
        <f aca="false">'02 SIZE_RUN'!AG54</f>
        <v>690</v>
      </c>
      <c r="K54" s="3" t="n">
        <f aca="false">J54-I54</f>
        <v>0</v>
      </c>
      <c r="L54" s="4" t="n">
        <v>46287</v>
      </c>
      <c r="M54" s="4" t="n">
        <v>46309</v>
      </c>
      <c r="N54" s="4" t="n">
        <v>46310</v>
      </c>
      <c r="O54" s="4" t="n">
        <v>46325</v>
      </c>
      <c r="P54" s="5"/>
      <c r="Q54" s="5"/>
      <c r="R54" s="6" t="s">
        <v>62</v>
      </c>
      <c r="S54" s="2" t="s">
        <v>63</v>
      </c>
    </row>
    <row r="55" customFormat="false" ht="23.85" hidden="false" customHeight="false" outlineLevel="0" collapsed="false">
      <c r="A55" s="2" t="s">
        <v>201</v>
      </c>
      <c r="B55" s="2" t="s">
        <v>153</v>
      </c>
      <c r="C55" s="2" t="s">
        <v>56</v>
      </c>
      <c r="D55" s="2" t="s">
        <v>154</v>
      </c>
      <c r="E55" s="2" t="s">
        <v>202</v>
      </c>
      <c r="F55" s="2" t="s">
        <v>59</v>
      </c>
      <c r="G55" s="2" t="s">
        <v>116</v>
      </c>
      <c r="H55" s="2" t="s">
        <v>157</v>
      </c>
      <c r="I55" s="2" t="n">
        <v>1884</v>
      </c>
      <c r="J55" s="2" t="n">
        <f aca="false">'02 SIZE_RUN'!AG55</f>
        <v>1884</v>
      </c>
      <c r="K55" s="3" t="n">
        <f aca="false">J55-I55</f>
        <v>0</v>
      </c>
      <c r="L55" s="4" t="n">
        <v>46287</v>
      </c>
      <c r="M55" s="4" t="n">
        <v>46310</v>
      </c>
      <c r="N55" s="4" t="n">
        <v>46314</v>
      </c>
      <c r="O55" s="4" t="n">
        <v>46325</v>
      </c>
      <c r="P55" s="5"/>
      <c r="Q55" s="5"/>
      <c r="R55" s="6" t="s">
        <v>62</v>
      </c>
      <c r="S55" s="2" t="s">
        <v>63</v>
      </c>
    </row>
    <row r="56" customFormat="false" ht="23.85" hidden="false" customHeight="false" outlineLevel="0" collapsed="false">
      <c r="A56" s="2" t="s">
        <v>203</v>
      </c>
      <c r="B56" s="2" t="s">
        <v>153</v>
      </c>
      <c r="C56" s="2" t="s">
        <v>56</v>
      </c>
      <c r="D56" s="2" t="s">
        <v>164</v>
      </c>
      <c r="E56" s="2" t="s">
        <v>204</v>
      </c>
      <c r="F56" s="2" t="s">
        <v>59</v>
      </c>
      <c r="G56" s="2" t="s">
        <v>69</v>
      </c>
      <c r="H56" s="2" t="s">
        <v>166</v>
      </c>
      <c r="I56" s="2" t="n">
        <v>315</v>
      </c>
      <c r="J56" s="2" t="n">
        <f aca="false">'02 SIZE_RUN'!AG56</f>
        <v>315</v>
      </c>
      <c r="K56" s="3" t="n">
        <f aca="false">J56-I56</f>
        <v>0</v>
      </c>
      <c r="L56" s="4" t="n">
        <v>46289</v>
      </c>
      <c r="M56" s="4" t="n">
        <v>46314</v>
      </c>
      <c r="N56" s="4" t="n">
        <v>46314</v>
      </c>
      <c r="O56" s="4" t="n">
        <v>46325</v>
      </c>
      <c r="P56" s="5"/>
      <c r="Q56" s="5"/>
      <c r="R56" s="6" t="s">
        <v>62</v>
      </c>
      <c r="S56" s="2" t="s">
        <v>63</v>
      </c>
    </row>
    <row r="57" customFormat="false" ht="23.85" hidden="false" customHeight="false" outlineLevel="0" collapsed="false">
      <c r="A57" s="2" t="s">
        <v>205</v>
      </c>
      <c r="B57" s="2" t="s">
        <v>153</v>
      </c>
      <c r="C57" s="2" t="s">
        <v>56</v>
      </c>
      <c r="D57" s="2" t="s">
        <v>164</v>
      </c>
      <c r="E57" s="2" t="s">
        <v>206</v>
      </c>
      <c r="F57" s="2" t="s">
        <v>66</v>
      </c>
      <c r="G57" s="2" t="s">
        <v>69</v>
      </c>
      <c r="H57" s="2" t="s">
        <v>166</v>
      </c>
      <c r="I57" s="2" t="n">
        <v>9</v>
      </c>
      <c r="J57" s="2" t="n">
        <f aca="false">'02 SIZE_RUN'!AG57</f>
        <v>9</v>
      </c>
      <c r="K57" s="3" t="n">
        <f aca="false">J57-I57</f>
        <v>0</v>
      </c>
      <c r="L57" s="4" t="n">
        <v>46289</v>
      </c>
      <c r="M57" s="4" t="n">
        <v>46314</v>
      </c>
      <c r="N57" s="4" t="n">
        <v>46314</v>
      </c>
      <c r="O57" s="4" t="n">
        <v>46325</v>
      </c>
      <c r="P57" s="5"/>
      <c r="Q57" s="5"/>
      <c r="R57" s="6" t="s">
        <v>62</v>
      </c>
      <c r="S57" s="2" t="s">
        <v>63</v>
      </c>
    </row>
    <row r="58" customFormat="false" ht="23.85" hidden="false" customHeight="false" outlineLevel="0" collapsed="false">
      <c r="A58" s="2" t="s">
        <v>207</v>
      </c>
      <c r="B58" s="2" t="s">
        <v>153</v>
      </c>
      <c r="C58" s="2" t="s">
        <v>56</v>
      </c>
      <c r="D58" s="2" t="s">
        <v>164</v>
      </c>
      <c r="E58" s="2" t="s">
        <v>208</v>
      </c>
      <c r="F58" s="2" t="s">
        <v>59</v>
      </c>
      <c r="G58" s="2" t="s">
        <v>69</v>
      </c>
      <c r="H58" s="2" t="s">
        <v>166</v>
      </c>
      <c r="I58" s="2" t="n">
        <v>2041</v>
      </c>
      <c r="J58" s="2" t="n">
        <f aca="false">'02 SIZE_RUN'!AG58</f>
        <v>2041</v>
      </c>
      <c r="K58" s="3" t="n">
        <f aca="false">J58-I58</f>
        <v>0</v>
      </c>
      <c r="L58" s="4" t="n">
        <v>46289</v>
      </c>
      <c r="M58" s="4" t="n">
        <v>46314</v>
      </c>
      <c r="N58" s="4" t="n">
        <v>46317</v>
      </c>
      <c r="O58" s="4" t="n">
        <v>46325</v>
      </c>
      <c r="P58" s="5"/>
      <c r="Q58" s="5"/>
      <c r="R58" s="6" t="s">
        <v>62</v>
      </c>
      <c r="S58" s="2" t="s">
        <v>63</v>
      </c>
    </row>
    <row r="59" customFormat="false" ht="23.85" hidden="false" customHeight="false" outlineLevel="0" collapsed="false">
      <c r="A59" s="2" t="s">
        <v>209</v>
      </c>
      <c r="B59" s="2" t="s">
        <v>153</v>
      </c>
      <c r="C59" s="2" t="s">
        <v>56</v>
      </c>
      <c r="D59" s="2" t="s">
        <v>154</v>
      </c>
      <c r="E59" s="2" t="s">
        <v>210</v>
      </c>
      <c r="F59" s="2" t="s">
        <v>59</v>
      </c>
      <c r="G59" s="2" t="s">
        <v>69</v>
      </c>
      <c r="H59" s="2" t="s">
        <v>157</v>
      </c>
      <c r="I59" s="2" t="n">
        <v>418</v>
      </c>
      <c r="J59" s="2" t="n">
        <f aca="false">'02 SIZE_RUN'!AG59</f>
        <v>418</v>
      </c>
      <c r="K59" s="3" t="n">
        <f aca="false">J59-I59</f>
        <v>0</v>
      </c>
      <c r="L59" s="4" t="n">
        <v>46289</v>
      </c>
      <c r="M59" s="4" t="n">
        <v>46317</v>
      </c>
      <c r="N59" s="4" t="n">
        <v>46317</v>
      </c>
      <c r="O59" s="4" t="n">
        <v>46332</v>
      </c>
      <c r="P59" s="5"/>
      <c r="Q59" s="5"/>
      <c r="R59" s="6" t="s">
        <v>62</v>
      </c>
      <c r="S59" s="2" t="s">
        <v>63</v>
      </c>
    </row>
    <row r="60" customFormat="false" ht="23.85" hidden="false" customHeight="false" outlineLevel="0" collapsed="false">
      <c r="A60" s="2" t="s">
        <v>211</v>
      </c>
      <c r="B60" s="2" t="s">
        <v>153</v>
      </c>
      <c r="C60" s="2" t="s">
        <v>56</v>
      </c>
      <c r="D60" s="2" t="s">
        <v>154</v>
      </c>
      <c r="E60" s="2" t="s">
        <v>212</v>
      </c>
      <c r="F60" s="2" t="s">
        <v>66</v>
      </c>
      <c r="G60" s="2" t="s">
        <v>69</v>
      </c>
      <c r="H60" s="2" t="s">
        <v>157</v>
      </c>
      <c r="I60" s="2" t="n">
        <v>9</v>
      </c>
      <c r="J60" s="2" t="n">
        <f aca="false">'02 SIZE_RUN'!AG60</f>
        <v>9</v>
      </c>
      <c r="K60" s="3" t="n">
        <f aca="false">J60-I60</f>
        <v>0</v>
      </c>
      <c r="L60" s="4" t="n">
        <v>46289</v>
      </c>
      <c r="M60" s="4" t="n">
        <v>46317</v>
      </c>
      <c r="N60" s="4" t="n">
        <v>46317</v>
      </c>
      <c r="O60" s="4" t="n">
        <v>46332</v>
      </c>
      <c r="P60" s="5"/>
      <c r="Q60" s="5"/>
      <c r="R60" s="6" t="s">
        <v>62</v>
      </c>
      <c r="S60" s="2" t="s">
        <v>63</v>
      </c>
    </row>
  </sheetData>
  <conditionalFormatting sqref="K2:K60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32" min="4" style="0" width="8"/>
    <col collapsed="false" customWidth="true" hidden="false" outlineLevel="0" max="33" min="33" style="0" width="18"/>
    <col collapsed="false" customWidth="true" hidden="false" outlineLevel="0" max="34" min="34" style="0" width="14"/>
    <col collapsed="false" customWidth="true" hidden="false" outlineLevel="0" max="35" min="35" style="0" width="20"/>
  </cols>
  <sheetData>
    <row r="1" customFormat="false" ht="33.75" hidden="false" customHeight="true" outlineLevel="0" collapsed="false">
      <c r="A1" s="1" t="s">
        <v>36</v>
      </c>
      <c r="B1" s="1" t="s">
        <v>39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</row>
    <row r="2" customFormat="false" ht="15" hidden="false" customHeight="false" outlineLevel="0" collapsed="false">
      <c r="A2" s="2" t="s">
        <v>54</v>
      </c>
      <c r="B2" s="2" t="s">
        <v>57</v>
      </c>
      <c r="C2" s="2" t="n">
        <v>155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</v>
      </c>
      <c r="M2" s="3" t="n">
        <v>10</v>
      </c>
      <c r="N2" s="3" t="n">
        <v>25</v>
      </c>
      <c r="O2" s="3" t="n">
        <v>25</v>
      </c>
      <c r="P2" s="3" t="n">
        <v>35</v>
      </c>
      <c r="Q2" s="3" t="n">
        <v>20</v>
      </c>
      <c r="R2" s="3" t="n">
        <v>10</v>
      </c>
      <c r="S2" s="3" t="n">
        <v>10</v>
      </c>
      <c r="T2" s="3" t="n">
        <v>5</v>
      </c>
      <c r="U2" s="3" t="n">
        <v>0</v>
      </c>
      <c r="V2" s="3" t="n">
        <v>5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2" t="n">
        <f aca="false">SUM(D2:AF2)</f>
        <v>155</v>
      </c>
      <c r="AH2" s="3" t="n">
        <f aca="false">AG2-C2</f>
        <v>0</v>
      </c>
      <c r="AI2" s="2" t="str">
        <f aca="false">IF(AH2=0,"COCOK","CEK SELISIH")</f>
        <v>COCOK</v>
      </c>
    </row>
    <row r="3" customFormat="false" ht="15" hidden="false" customHeight="false" outlineLevel="0" collapsed="false">
      <c r="A3" s="2" t="s">
        <v>64</v>
      </c>
      <c r="B3" s="2" t="s">
        <v>57</v>
      </c>
      <c r="C3" s="2" t="n">
        <v>9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9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2" t="n">
        <f aca="false">SUM(D3:AF3)</f>
        <v>9</v>
      </c>
      <c r="AH3" s="3" t="n">
        <f aca="false">AG3-C3</f>
        <v>0</v>
      </c>
      <c r="AI3" s="2" t="str">
        <f aca="false">IF(AH3=0,"COCOK","CEK SELISIH")</f>
        <v>COCOK</v>
      </c>
    </row>
    <row r="4" customFormat="false" ht="15" hidden="false" customHeight="false" outlineLevel="0" collapsed="false">
      <c r="A4" s="2" t="s">
        <v>67</v>
      </c>
      <c r="B4" s="2" t="s">
        <v>57</v>
      </c>
      <c r="C4" s="2" t="n">
        <v>650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6</v>
      </c>
      <c r="K4" s="3" t="n">
        <v>10</v>
      </c>
      <c r="L4" s="3" t="n">
        <v>23</v>
      </c>
      <c r="M4" s="3" t="n">
        <v>29</v>
      </c>
      <c r="N4" s="3" t="n">
        <v>81</v>
      </c>
      <c r="O4" s="3" t="n">
        <v>72</v>
      </c>
      <c r="P4" s="3" t="n">
        <v>117</v>
      </c>
      <c r="Q4" s="3" t="n">
        <v>88</v>
      </c>
      <c r="R4" s="3" t="n">
        <v>78</v>
      </c>
      <c r="S4" s="3" t="n">
        <v>71</v>
      </c>
      <c r="T4" s="3" t="n">
        <v>49</v>
      </c>
      <c r="U4" s="3" t="n">
        <v>0</v>
      </c>
      <c r="V4" s="3" t="n">
        <v>26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2" t="n">
        <f aca="false">SUM(D4:AF4)</f>
        <v>650</v>
      </c>
      <c r="AH4" s="3" t="n">
        <f aca="false">AG4-C4</f>
        <v>0</v>
      </c>
      <c r="AI4" s="2" t="str">
        <f aca="false">IF(AH4=0,"COCOK","CEK SELISIH")</f>
        <v>COCOK</v>
      </c>
    </row>
    <row r="5" customFormat="false" ht="15" hidden="false" customHeight="false" outlineLevel="0" collapsed="false">
      <c r="A5" s="2" t="s">
        <v>70</v>
      </c>
      <c r="B5" s="2" t="s">
        <v>57</v>
      </c>
      <c r="C5" s="2" t="n">
        <v>650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10</v>
      </c>
      <c r="K5" s="3" t="n">
        <v>32</v>
      </c>
      <c r="L5" s="3" t="n">
        <v>36</v>
      </c>
      <c r="M5" s="3" t="n">
        <v>36</v>
      </c>
      <c r="N5" s="3" t="n">
        <v>107</v>
      </c>
      <c r="O5" s="3" t="n">
        <v>49</v>
      </c>
      <c r="P5" s="3" t="n">
        <v>130</v>
      </c>
      <c r="Q5" s="3" t="n">
        <v>62</v>
      </c>
      <c r="R5" s="3" t="n">
        <v>71</v>
      </c>
      <c r="S5" s="3" t="n">
        <v>52</v>
      </c>
      <c r="T5" s="3" t="n">
        <v>36</v>
      </c>
      <c r="U5" s="3" t="n">
        <v>0</v>
      </c>
      <c r="V5" s="3" t="n">
        <v>29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2" t="n">
        <f aca="false">SUM(D5:AF5)</f>
        <v>650</v>
      </c>
      <c r="AH5" s="3" t="n">
        <f aca="false">AG5-C5</f>
        <v>0</v>
      </c>
      <c r="AI5" s="2" t="str">
        <f aca="false">IF(AH5=0,"COCOK","CEK SELISIH")</f>
        <v>COCOK</v>
      </c>
    </row>
    <row r="6" customFormat="false" ht="15" hidden="false" customHeight="false" outlineLevel="0" collapsed="false">
      <c r="A6" s="2" t="s">
        <v>72</v>
      </c>
      <c r="B6" s="2" t="s">
        <v>73</v>
      </c>
      <c r="C6" s="2" t="n">
        <v>181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</v>
      </c>
      <c r="K6" s="3" t="n">
        <v>2</v>
      </c>
      <c r="L6" s="3" t="n">
        <v>7</v>
      </c>
      <c r="M6" s="3" t="n">
        <v>15</v>
      </c>
      <c r="N6" s="3" t="n">
        <v>32</v>
      </c>
      <c r="O6" s="3" t="n">
        <v>24</v>
      </c>
      <c r="P6" s="3" t="n">
        <v>33</v>
      </c>
      <c r="Q6" s="3" t="n">
        <v>22</v>
      </c>
      <c r="R6" s="3" t="n">
        <v>14</v>
      </c>
      <c r="S6" s="3" t="n">
        <v>14</v>
      </c>
      <c r="T6" s="3" t="n">
        <v>7</v>
      </c>
      <c r="U6" s="3" t="n">
        <v>2</v>
      </c>
      <c r="V6" s="3" t="n">
        <v>7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2" t="n">
        <f aca="false">SUM(D6:AF6)</f>
        <v>181</v>
      </c>
      <c r="AH6" s="3" t="n">
        <f aca="false">AG6-C6</f>
        <v>0</v>
      </c>
      <c r="AI6" s="2" t="str">
        <f aca="false">IF(AH6=0,"COCOK","CEK SELISIH")</f>
        <v>COCOK</v>
      </c>
    </row>
    <row r="7" customFormat="false" ht="15" hidden="false" customHeight="false" outlineLevel="0" collapsed="false">
      <c r="A7" s="2" t="s">
        <v>76</v>
      </c>
      <c r="B7" s="2" t="s">
        <v>73</v>
      </c>
      <c r="C7" s="2" t="n">
        <v>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9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2" t="n">
        <f aca="false">SUM(D7:AF7)</f>
        <v>9</v>
      </c>
      <c r="AH7" s="3" t="n">
        <f aca="false">AG7-C7</f>
        <v>0</v>
      </c>
      <c r="AI7" s="2" t="str">
        <f aca="false">IF(AH7=0,"COCOK","CEK SELISIH")</f>
        <v>COCOK</v>
      </c>
    </row>
    <row r="8" customFormat="false" ht="15" hidden="false" customHeight="false" outlineLevel="0" collapsed="false">
      <c r="A8" s="2" t="s">
        <v>78</v>
      </c>
      <c r="B8" s="2" t="s">
        <v>73</v>
      </c>
      <c r="C8" s="2" t="n">
        <v>6120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420</v>
      </c>
      <c r="M8" s="3" t="n">
        <v>530</v>
      </c>
      <c r="N8" s="3" t="n">
        <v>550</v>
      </c>
      <c r="O8" s="3" t="n">
        <v>700</v>
      </c>
      <c r="P8" s="3" t="n">
        <v>740</v>
      </c>
      <c r="Q8" s="3" t="n">
        <v>730</v>
      </c>
      <c r="R8" s="3" t="n">
        <v>710</v>
      </c>
      <c r="S8" s="3" t="n">
        <v>720</v>
      </c>
      <c r="T8" s="3" t="n">
        <v>0</v>
      </c>
      <c r="U8" s="3" t="n">
        <v>600</v>
      </c>
      <c r="V8" s="3" t="n">
        <v>0</v>
      </c>
      <c r="W8" s="3" t="n">
        <v>420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2" t="n">
        <f aca="false">SUM(D8:AF8)</f>
        <v>6120</v>
      </c>
      <c r="AH8" s="3" t="n">
        <f aca="false">AG8-C8</f>
        <v>0</v>
      </c>
      <c r="AI8" s="2" t="str">
        <f aca="false">IF(AH8=0,"COCOK","CEK SELISIH")</f>
        <v>COCOK</v>
      </c>
    </row>
    <row r="9" customFormat="false" ht="15" hidden="false" customHeight="false" outlineLevel="0" collapsed="false">
      <c r="A9" s="2" t="s">
        <v>81</v>
      </c>
      <c r="B9" s="2" t="s">
        <v>82</v>
      </c>
      <c r="C9" s="2" t="n">
        <v>440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37</v>
      </c>
      <c r="M9" s="3" t="n">
        <v>73</v>
      </c>
      <c r="N9" s="3" t="n">
        <v>92</v>
      </c>
      <c r="O9" s="3" t="n">
        <v>73</v>
      </c>
      <c r="P9" s="3" t="n">
        <v>73</v>
      </c>
      <c r="Q9" s="3" t="n">
        <v>55</v>
      </c>
      <c r="R9" s="3" t="n">
        <v>37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2" t="n">
        <f aca="false">SUM(D9:AF9)</f>
        <v>440</v>
      </c>
      <c r="AH9" s="3" t="n">
        <f aca="false">AG9-C9</f>
        <v>0</v>
      </c>
      <c r="AI9" s="2" t="str">
        <f aca="false">IF(AH9=0,"COCOK","CEK SELISIH")</f>
        <v>COCOK</v>
      </c>
    </row>
    <row r="10" customFormat="false" ht="15" hidden="false" customHeight="false" outlineLevel="0" collapsed="false">
      <c r="A10" s="2" t="s">
        <v>86</v>
      </c>
      <c r="B10" s="2" t="s">
        <v>82</v>
      </c>
      <c r="C10" s="2" t="n">
        <v>9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2" t="n">
        <f aca="false">SUM(D10:AF10)</f>
        <v>9</v>
      </c>
      <c r="AH10" s="3" t="n">
        <f aca="false">AG10-C10</f>
        <v>0</v>
      </c>
      <c r="AI10" s="2" t="str">
        <f aca="false">IF(AH10=0,"COCOK","CEK SELISIH")</f>
        <v>COCOK</v>
      </c>
    </row>
    <row r="11" customFormat="false" ht="15" hidden="false" customHeight="false" outlineLevel="0" collapsed="false">
      <c r="A11" s="2" t="s">
        <v>88</v>
      </c>
      <c r="B11" s="2" t="s">
        <v>82</v>
      </c>
      <c r="C11" s="2" t="n">
        <v>645</v>
      </c>
      <c r="D11" s="3" t="n">
        <v>1</v>
      </c>
      <c r="E11" s="3" t="n">
        <v>12</v>
      </c>
      <c r="F11" s="3" t="n">
        <v>19</v>
      </c>
      <c r="G11" s="3" t="n">
        <v>33</v>
      </c>
      <c r="H11" s="3" t="n">
        <v>52</v>
      </c>
      <c r="I11" s="3" t="n">
        <v>57</v>
      </c>
      <c r="J11" s="3" t="n">
        <v>93</v>
      </c>
      <c r="K11" s="3" t="n">
        <v>49</v>
      </c>
      <c r="L11" s="3" t="n">
        <v>8</v>
      </c>
      <c r="M11" s="3" t="n">
        <v>9</v>
      </c>
      <c r="N11" s="3" t="n">
        <v>26</v>
      </c>
      <c r="O11" s="3" t="n">
        <v>23</v>
      </c>
      <c r="P11" s="3" t="n">
        <v>31</v>
      </c>
      <c r="Q11" s="3" t="n">
        <v>15</v>
      </c>
      <c r="R11" s="3" t="n">
        <v>8</v>
      </c>
      <c r="S11" s="3" t="n">
        <v>5</v>
      </c>
      <c r="T11" s="3" t="n">
        <v>4</v>
      </c>
      <c r="U11" s="3" t="n">
        <v>71</v>
      </c>
      <c r="V11" s="3" t="n">
        <v>71</v>
      </c>
      <c r="W11" s="3" t="n">
        <v>37</v>
      </c>
      <c r="X11" s="3" t="n">
        <v>0</v>
      </c>
      <c r="Y11" s="3" t="n">
        <v>21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2" t="n">
        <f aca="false">SUM(D11:AF11)</f>
        <v>645</v>
      </c>
      <c r="AH11" s="3" t="n">
        <f aca="false">AG11-C11</f>
        <v>0</v>
      </c>
      <c r="AI11" s="2" t="str">
        <f aca="false">IF(AH11=0,"COCOK","CEK SELISIH")</f>
        <v>COCOK</v>
      </c>
    </row>
    <row r="12" customFormat="false" ht="15" hidden="false" customHeight="false" outlineLevel="0" collapsed="false">
      <c r="A12" s="2" t="s">
        <v>91</v>
      </c>
      <c r="B12" s="2" t="s">
        <v>92</v>
      </c>
      <c r="C12" s="2" t="n">
        <v>241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24</v>
      </c>
      <c r="L12" s="3" t="n">
        <v>1</v>
      </c>
      <c r="M12" s="3" t="n">
        <v>20</v>
      </c>
      <c r="N12" s="3" t="n">
        <v>50</v>
      </c>
      <c r="O12" s="3" t="n">
        <v>19</v>
      </c>
      <c r="P12" s="3" t="n">
        <v>32</v>
      </c>
      <c r="Q12" s="3" t="n">
        <v>26</v>
      </c>
      <c r="R12" s="3" t="n">
        <v>22</v>
      </c>
      <c r="S12" s="3" t="n">
        <v>19</v>
      </c>
      <c r="T12" s="3" t="n">
        <v>19</v>
      </c>
      <c r="U12" s="3" t="n">
        <v>0</v>
      </c>
      <c r="V12" s="3" t="n">
        <v>9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2" t="n">
        <f aca="false">SUM(D12:AF12)</f>
        <v>241</v>
      </c>
      <c r="AH12" s="3" t="n">
        <f aca="false">AG12-C12</f>
        <v>0</v>
      </c>
      <c r="AI12" s="2" t="str">
        <f aca="false">IF(AH12=0,"COCOK","CEK SELISIH")</f>
        <v>COCOK</v>
      </c>
    </row>
    <row r="13" customFormat="false" ht="15" hidden="false" customHeight="false" outlineLevel="0" collapsed="false">
      <c r="A13" s="2" t="s">
        <v>96</v>
      </c>
      <c r="B13" s="2" t="s">
        <v>92</v>
      </c>
      <c r="C13" s="2" t="n">
        <v>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2" t="n">
        <f aca="false">SUM(D13:AF13)</f>
        <v>9</v>
      </c>
      <c r="AH13" s="3" t="n">
        <f aca="false">AG13-C13</f>
        <v>0</v>
      </c>
      <c r="AI13" s="2" t="str">
        <f aca="false">IF(AH13=0,"COCOK","CEK SELISIH")</f>
        <v>COCOK</v>
      </c>
    </row>
    <row r="14" customFormat="false" ht="15" hidden="false" customHeight="false" outlineLevel="0" collapsed="false">
      <c r="A14" s="2" t="s">
        <v>98</v>
      </c>
      <c r="B14" s="2" t="s">
        <v>92</v>
      </c>
      <c r="C14" s="2" t="n">
        <v>165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5</v>
      </c>
      <c r="K14" s="3" t="n">
        <v>5</v>
      </c>
      <c r="L14" s="3" t="n">
        <v>10</v>
      </c>
      <c r="M14" s="3" t="n">
        <v>10</v>
      </c>
      <c r="N14" s="3" t="n">
        <v>15</v>
      </c>
      <c r="O14" s="3" t="n">
        <v>30</v>
      </c>
      <c r="P14" s="3" t="n">
        <v>35</v>
      </c>
      <c r="Q14" s="3" t="n">
        <v>30</v>
      </c>
      <c r="R14" s="3" t="n">
        <v>10</v>
      </c>
      <c r="S14" s="3" t="n">
        <v>5</v>
      </c>
      <c r="T14" s="3" t="n">
        <v>5</v>
      </c>
      <c r="U14" s="3" t="n">
        <v>5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2" t="n">
        <f aca="false">SUM(D14:AF14)</f>
        <v>165</v>
      </c>
      <c r="AH14" s="3" t="n">
        <f aca="false">AG14-C14</f>
        <v>0</v>
      </c>
      <c r="AI14" s="2" t="str">
        <f aca="false">IF(AH14=0,"COCOK","CEK SELISIH")</f>
        <v>COCOK</v>
      </c>
    </row>
    <row r="15" customFormat="false" ht="15" hidden="false" customHeight="false" outlineLevel="0" collapsed="false">
      <c r="A15" s="2" t="s">
        <v>101</v>
      </c>
      <c r="B15" s="2" t="s">
        <v>73</v>
      </c>
      <c r="C15" s="2" t="n">
        <v>145</v>
      </c>
      <c r="D15" s="3" t="n">
        <v>0</v>
      </c>
      <c r="E15" s="3" t="n">
        <v>0</v>
      </c>
      <c r="F15" s="3" t="n">
        <v>0</v>
      </c>
      <c r="G15" s="3" t="n">
        <v>5</v>
      </c>
      <c r="H15" s="3" t="n">
        <v>10</v>
      </c>
      <c r="I15" s="3" t="n">
        <v>10</v>
      </c>
      <c r="J15" s="3" t="n">
        <v>10</v>
      </c>
      <c r="K15" s="3" t="n">
        <v>0</v>
      </c>
      <c r="L15" s="3" t="n">
        <v>40</v>
      </c>
      <c r="M15" s="3" t="n">
        <v>0</v>
      </c>
      <c r="N15" s="3" t="n">
        <v>0</v>
      </c>
      <c r="O15" s="3" t="n">
        <v>50</v>
      </c>
      <c r="P15" s="3" t="n">
        <v>0</v>
      </c>
      <c r="Q15" s="3" t="n">
        <v>0</v>
      </c>
      <c r="R15" s="3" t="n">
        <v>10</v>
      </c>
      <c r="S15" s="3" t="n">
        <v>0</v>
      </c>
      <c r="T15" s="3" t="n">
        <v>0</v>
      </c>
      <c r="U15" s="3" t="n">
        <v>5</v>
      </c>
      <c r="V15" s="3" t="n">
        <v>0</v>
      </c>
      <c r="W15" s="3" t="n">
        <v>0</v>
      </c>
      <c r="X15" s="3" t="n">
        <v>0</v>
      </c>
      <c r="Y15" s="3" t="n">
        <v>5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2" t="n">
        <f aca="false">SUM(D15:AF15)</f>
        <v>145</v>
      </c>
      <c r="AH15" s="3" t="n">
        <f aca="false">AG15-C15</f>
        <v>0</v>
      </c>
      <c r="AI15" s="2" t="str">
        <f aca="false">IF(AH15=0,"COCOK","CEK SELISIH")</f>
        <v>COCOK</v>
      </c>
    </row>
    <row r="16" customFormat="false" ht="15" hidden="false" customHeight="false" outlineLevel="0" collapsed="false">
      <c r="A16" s="2" t="s">
        <v>104</v>
      </c>
      <c r="B16" s="2" t="s">
        <v>73</v>
      </c>
      <c r="C16" s="2" t="n">
        <v>325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5</v>
      </c>
      <c r="J16" s="3" t="n">
        <v>10</v>
      </c>
      <c r="K16" s="3" t="n">
        <v>25</v>
      </c>
      <c r="L16" s="3" t="n">
        <v>5</v>
      </c>
      <c r="M16" s="3" t="n">
        <v>35</v>
      </c>
      <c r="N16" s="3" t="n">
        <v>55</v>
      </c>
      <c r="O16" s="3" t="n">
        <v>5</v>
      </c>
      <c r="P16" s="3" t="n">
        <v>65</v>
      </c>
      <c r="Q16" s="3" t="n">
        <v>45</v>
      </c>
      <c r="R16" s="3" t="n">
        <v>10</v>
      </c>
      <c r="S16" s="3" t="n">
        <v>30</v>
      </c>
      <c r="T16" s="3" t="n">
        <v>25</v>
      </c>
      <c r="U16" s="3" t="n">
        <v>0</v>
      </c>
      <c r="V16" s="3" t="n">
        <v>10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2" t="n">
        <f aca="false">SUM(D16:AF16)</f>
        <v>325</v>
      </c>
      <c r="AH16" s="3" t="n">
        <f aca="false">AG16-C16</f>
        <v>0</v>
      </c>
      <c r="AI16" s="2" t="str">
        <f aca="false">IF(AH16=0,"COCOK","CEK SELISIH")</f>
        <v>COCOK</v>
      </c>
    </row>
    <row r="17" customFormat="false" ht="15" hidden="false" customHeight="false" outlineLevel="0" collapsed="false">
      <c r="A17" s="2" t="s">
        <v>106</v>
      </c>
      <c r="B17" s="2" t="s">
        <v>73</v>
      </c>
      <c r="C17" s="2" t="n">
        <v>353</v>
      </c>
      <c r="D17" s="3" t="n">
        <v>2</v>
      </c>
      <c r="E17" s="3" t="n">
        <v>6</v>
      </c>
      <c r="F17" s="3" t="n">
        <v>12</v>
      </c>
      <c r="G17" s="3" t="n">
        <v>0</v>
      </c>
      <c r="H17" s="3" t="n">
        <v>0</v>
      </c>
      <c r="I17" s="3" t="n">
        <v>0</v>
      </c>
      <c r="J17" s="3" t="n">
        <v>5</v>
      </c>
      <c r="K17" s="3" t="n">
        <v>0</v>
      </c>
      <c r="L17" s="3" t="n">
        <v>6</v>
      </c>
      <c r="M17" s="3" t="n">
        <v>15</v>
      </c>
      <c r="N17" s="3" t="n">
        <v>50</v>
      </c>
      <c r="O17" s="3" t="n">
        <v>38</v>
      </c>
      <c r="P17" s="3" t="n">
        <v>42</v>
      </c>
      <c r="Q17" s="3" t="n">
        <v>41</v>
      </c>
      <c r="R17" s="3" t="n">
        <v>38</v>
      </c>
      <c r="S17" s="3" t="n">
        <v>25</v>
      </c>
      <c r="T17" s="3" t="n">
        <v>18</v>
      </c>
      <c r="U17" s="3" t="n">
        <v>19</v>
      </c>
      <c r="V17" s="3" t="n">
        <v>26</v>
      </c>
      <c r="W17" s="3" t="n">
        <v>6</v>
      </c>
      <c r="X17" s="3" t="n">
        <v>0</v>
      </c>
      <c r="Y17" s="3" t="n">
        <v>4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2" t="n">
        <f aca="false">SUM(D17:AF17)</f>
        <v>353</v>
      </c>
      <c r="AH17" s="3" t="n">
        <f aca="false">AG17-C17</f>
        <v>0</v>
      </c>
      <c r="AI17" s="2" t="str">
        <f aca="false">IF(AH17=0,"COCOK","CEK SELISIH")</f>
        <v>COCOK</v>
      </c>
    </row>
    <row r="18" customFormat="false" ht="15" hidden="false" customHeight="false" outlineLevel="0" collapsed="false">
      <c r="A18" s="2" t="s">
        <v>108</v>
      </c>
      <c r="B18" s="2" t="s">
        <v>82</v>
      </c>
      <c r="C18" s="2" t="n">
        <v>124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</v>
      </c>
      <c r="L18" s="3" t="n">
        <v>6</v>
      </c>
      <c r="M18" s="3" t="n">
        <v>17</v>
      </c>
      <c r="N18" s="3" t="n">
        <v>22</v>
      </c>
      <c r="O18" s="3" t="n">
        <v>11</v>
      </c>
      <c r="P18" s="3" t="n">
        <v>11</v>
      </c>
      <c r="Q18" s="3" t="n">
        <v>15</v>
      </c>
      <c r="R18" s="3" t="n">
        <v>9</v>
      </c>
      <c r="S18" s="3" t="n">
        <v>11</v>
      </c>
      <c r="T18" s="3" t="n">
        <v>11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2" t="n">
        <f aca="false">SUM(D18:AF18)</f>
        <v>124</v>
      </c>
      <c r="AH18" s="3" t="n">
        <f aca="false">AG18-C18</f>
        <v>0</v>
      </c>
      <c r="AI18" s="2" t="str">
        <f aca="false">IF(AH18=0,"COCOK","CEK SELISIH")</f>
        <v>COCOK</v>
      </c>
    </row>
    <row r="19" customFormat="false" ht="15" hidden="false" customHeight="false" outlineLevel="0" collapsed="false">
      <c r="A19" s="2" t="s">
        <v>110</v>
      </c>
      <c r="B19" s="2" t="s">
        <v>57</v>
      </c>
      <c r="C19" s="2" t="n">
        <v>406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22</v>
      </c>
      <c r="L19" s="3" t="n">
        <v>11</v>
      </c>
      <c r="M19" s="3" t="n">
        <v>50</v>
      </c>
      <c r="N19" s="3" t="n">
        <v>62</v>
      </c>
      <c r="O19" s="3" t="n">
        <v>35</v>
      </c>
      <c r="P19" s="3" t="n">
        <v>56</v>
      </c>
      <c r="Q19" s="3" t="n">
        <v>48</v>
      </c>
      <c r="R19" s="3" t="n">
        <v>32</v>
      </c>
      <c r="S19" s="3" t="n">
        <v>40</v>
      </c>
      <c r="T19" s="3" t="n">
        <v>32</v>
      </c>
      <c r="U19" s="3" t="n">
        <v>1</v>
      </c>
      <c r="V19" s="3" t="n">
        <v>17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2" t="n">
        <f aca="false">SUM(D19:AF19)</f>
        <v>406</v>
      </c>
      <c r="AH19" s="3" t="n">
        <f aca="false">AG19-C19</f>
        <v>0</v>
      </c>
      <c r="AI19" s="2" t="str">
        <f aca="false">IF(AH19=0,"COCOK","CEK SELISIH")</f>
        <v>COCOK</v>
      </c>
    </row>
    <row r="20" customFormat="false" ht="15" hidden="false" customHeight="false" outlineLevel="0" collapsed="false">
      <c r="A20" s="2" t="s">
        <v>112</v>
      </c>
      <c r="B20" s="2" t="s">
        <v>57</v>
      </c>
      <c r="C20" s="2" t="n">
        <v>455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50</v>
      </c>
      <c r="K20" s="3" t="n">
        <v>165</v>
      </c>
      <c r="L20" s="3" t="n">
        <v>0</v>
      </c>
      <c r="M20" s="3" t="n">
        <v>0</v>
      </c>
      <c r="N20" s="3" t="n">
        <v>50</v>
      </c>
      <c r="O20" s="3" t="n">
        <v>0</v>
      </c>
      <c r="P20" s="3" t="n">
        <v>0</v>
      </c>
      <c r="Q20" s="3" t="n">
        <v>190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2" t="n">
        <f aca="false">SUM(D20:AF20)</f>
        <v>455</v>
      </c>
      <c r="AH20" s="3" t="n">
        <f aca="false">AG20-C20</f>
        <v>0</v>
      </c>
      <c r="AI20" s="2" t="str">
        <f aca="false">IF(AH20=0,"COCOK","CEK SELISIH")</f>
        <v>COCOK</v>
      </c>
    </row>
    <row r="21" customFormat="false" ht="15" hidden="false" customHeight="false" outlineLevel="0" collapsed="false">
      <c r="A21" s="2" t="s">
        <v>114</v>
      </c>
      <c r="B21" s="2" t="s">
        <v>92</v>
      </c>
      <c r="C21" s="2" t="n">
        <v>690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23</v>
      </c>
      <c r="K21" s="3" t="n">
        <v>82</v>
      </c>
      <c r="L21" s="3" t="n">
        <v>26</v>
      </c>
      <c r="M21" s="3" t="n">
        <v>101</v>
      </c>
      <c r="N21" s="3" t="n">
        <v>191</v>
      </c>
      <c r="O21" s="3" t="n">
        <v>73</v>
      </c>
      <c r="P21" s="3" t="n">
        <v>48</v>
      </c>
      <c r="Q21" s="3" t="n">
        <v>96</v>
      </c>
      <c r="R21" s="3" t="n">
        <v>24</v>
      </c>
      <c r="S21" s="3" t="n">
        <v>8</v>
      </c>
      <c r="T21" s="3" t="n">
        <v>17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2" t="n">
        <f aca="false">SUM(D21:AF21)</f>
        <v>690</v>
      </c>
      <c r="AH21" s="3" t="n">
        <f aca="false">AG21-C21</f>
        <v>0</v>
      </c>
      <c r="AI21" s="2" t="str">
        <f aca="false">IF(AH21=0,"COCOK","CEK SELISIH")</f>
        <v>COCOK</v>
      </c>
    </row>
    <row r="22" customFormat="false" ht="15" hidden="false" customHeight="false" outlineLevel="0" collapsed="false">
      <c r="A22" s="2" t="s">
        <v>117</v>
      </c>
      <c r="B22" s="2" t="s">
        <v>92</v>
      </c>
      <c r="C22" s="2" t="n">
        <v>1794</v>
      </c>
      <c r="D22" s="3" t="n">
        <v>0</v>
      </c>
      <c r="E22" s="3" t="n">
        <v>2</v>
      </c>
      <c r="F22" s="3" t="n">
        <v>2</v>
      </c>
      <c r="G22" s="3" t="n">
        <v>4</v>
      </c>
      <c r="H22" s="3" t="n">
        <v>4</v>
      </c>
      <c r="I22" s="3" t="n">
        <v>4</v>
      </c>
      <c r="J22" s="3" t="n">
        <v>16</v>
      </c>
      <c r="K22" s="3" t="n">
        <v>70</v>
      </c>
      <c r="L22" s="3" t="n">
        <v>104</v>
      </c>
      <c r="M22" s="3" t="n">
        <v>257</v>
      </c>
      <c r="N22" s="3" t="n">
        <v>303</v>
      </c>
      <c r="O22" s="3" t="n">
        <v>285</v>
      </c>
      <c r="P22" s="3" t="n">
        <v>285</v>
      </c>
      <c r="Q22" s="3" t="n">
        <v>163</v>
      </c>
      <c r="R22" s="3" t="n">
        <v>111</v>
      </c>
      <c r="S22" s="3" t="n">
        <v>103</v>
      </c>
      <c r="T22" s="3" t="n">
        <v>32</v>
      </c>
      <c r="U22" s="3" t="n">
        <v>16</v>
      </c>
      <c r="V22" s="3" t="n">
        <v>18</v>
      </c>
      <c r="W22" s="3" t="n">
        <v>10</v>
      </c>
      <c r="X22" s="3" t="n">
        <v>0</v>
      </c>
      <c r="Y22" s="3" t="n">
        <v>5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2" t="n">
        <f aca="false">SUM(D22:AF22)</f>
        <v>1794</v>
      </c>
      <c r="AH22" s="3" t="n">
        <f aca="false">AG22-C22</f>
        <v>0</v>
      </c>
      <c r="AI22" s="2" t="str">
        <f aca="false">IF(AH22=0,"COCOK","CEK SELISIH")</f>
        <v>COCOK</v>
      </c>
    </row>
    <row r="23" customFormat="false" ht="15" hidden="false" customHeight="false" outlineLevel="0" collapsed="false">
      <c r="A23" s="2" t="s">
        <v>119</v>
      </c>
      <c r="B23" s="2" t="s">
        <v>92</v>
      </c>
      <c r="C23" s="2" t="n">
        <v>302</v>
      </c>
      <c r="D23" s="3" t="n">
        <v>1</v>
      </c>
      <c r="E23" s="3" t="n">
        <v>2</v>
      </c>
      <c r="F23" s="3" t="n">
        <v>2</v>
      </c>
      <c r="G23" s="3" t="n">
        <v>1</v>
      </c>
      <c r="H23" s="3" t="n">
        <v>3</v>
      </c>
      <c r="I23" s="3" t="n">
        <v>2</v>
      </c>
      <c r="J23" s="3" t="n">
        <v>1</v>
      </c>
      <c r="K23" s="3" t="n">
        <v>13</v>
      </c>
      <c r="L23" s="3" t="n">
        <v>6</v>
      </c>
      <c r="M23" s="3" t="n">
        <v>30</v>
      </c>
      <c r="N23" s="3" t="n">
        <v>42</v>
      </c>
      <c r="O23" s="3" t="n">
        <v>40</v>
      </c>
      <c r="P23" s="3" t="n">
        <v>71</v>
      </c>
      <c r="Q23" s="3" t="n">
        <v>46</v>
      </c>
      <c r="R23" s="3" t="n">
        <v>2</v>
      </c>
      <c r="S23" s="3" t="n">
        <v>16</v>
      </c>
      <c r="T23" s="3" t="n">
        <v>13</v>
      </c>
      <c r="U23" s="3" t="n">
        <v>6</v>
      </c>
      <c r="V23" s="3" t="n">
        <v>0</v>
      </c>
      <c r="W23" s="3" t="n">
        <v>3</v>
      </c>
      <c r="X23" s="3" t="n">
        <v>0</v>
      </c>
      <c r="Y23" s="3" t="n">
        <v>2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2" t="n">
        <f aca="false">SUM(D23:AF23)</f>
        <v>302</v>
      </c>
      <c r="AH23" s="3" t="n">
        <f aca="false">AG23-C23</f>
        <v>0</v>
      </c>
      <c r="AI23" s="2" t="str">
        <f aca="false">IF(AH23=0,"COCOK","CEK SELISIH")</f>
        <v>COCOK</v>
      </c>
    </row>
    <row r="24" customFormat="false" ht="15" hidden="false" customHeight="false" outlineLevel="0" collapsed="false">
      <c r="A24" s="2" t="s">
        <v>121</v>
      </c>
      <c r="B24" s="2" t="s">
        <v>73</v>
      </c>
      <c r="C24" s="2" t="n">
        <v>300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20</v>
      </c>
      <c r="N24" s="3" t="n">
        <v>35</v>
      </c>
      <c r="O24" s="3" t="n">
        <v>40</v>
      </c>
      <c r="P24" s="3" t="n">
        <v>70</v>
      </c>
      <c r="Q24" s="3" t="n">
        <v>40</v>
      </c>
      <c r="R24" s="3" t="n">
        <v>35</v>
      </c>
      <c r="S24" s="3" t="n">
        <v>35</v>
      </c>
      <c r="T24" s="3" t="n">
        <v>15</v>
      </c>
      <c r="U24" s="3" t="n">
        <v>5</v>
      </c>
      <c r="V24" s="3" t="n">
        <v>5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2" t="n">
        <f aca="false">SUM(D24:AF24)</f>
        <v>300</v>
      </c>
      <c r="AH24" s="3" t="n">
        <f aca="false">AG24-C24</f>
        <v>0</v>
      </c>
      <c r="AI24" s="2" t="str">
        <f aca="false">IF(AH24=0,"COCOK","CEK SELISIH")</f>
        <v>COCOK</v>
      </c>
    </row>
    <row r="25" customFormat="false" ht="15" hidden="false" customHeight="false" outlineLevel="0" collapsed="false">
      <c r="A25" s="2" t="s">
        <v>124</v>
      </c>
      <c r="B25" s="2" t="s">
        <v>57</v>
      </c>
      <c r="C25" s="2" t="n">
        <v>107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10</v>
      </c>
      <c r="L25" s="3" t="n">
        <v>0</v>
      </c>
      <c r="M25" s="3" t="n">
        <v>16</v>
      </c>
      <c r="N25" s="3" t="n">
        <v>22</v>
      </c>
      <c r="O25" s="3" t="n">
        <v>1</v>
      </c>
      <c r="P25" s="3" t="n">
        <v>22</v>
      </c>
      <c r="Q25" s="3" t="n">
        <v>16</v>
      </c>
      <c r="R25" s="3" t="n">
        <v>2</v>
      </c>
      <c r="S25" s="3" t="n">
        <v>11</v>
      </c>
      <c r="T25" s="3" t="n">
        <v>6</v>
      </c>
      <c r="U25" s="3" t="n">
        <v>0</v>
      </c>
      <c r="V25" s="3" t="n">
        <v>1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2" t="n">
        <f aca="false">SUM(D25:AF25)</f>
        <v>107</v>
      </c>
      <c r="AH25" s="3" t="n">
        <f aca="false">AG25-C25</f>
        <v>0</v>
      </c>
      <c r="AI25" s="2" t="str">
        <f aca="false">IF(AH25=0,"COCOK","CEK SELISIH")</f>
        <v>COCOK</v>
      </c>
    </row>
    <row r="26" customFormat="false" ht="15" hidden="false" customHeight="false" outlineLevel="0" collapsed="false">
      <c r="A26" s="2" t="s">
        <v>127</v>
      </c>
      <c r="B26" s="2" t="s">
        <v>128</v>
      </c>
      <c r="C26" s="2" t="n">
        <v>106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3</v>
      </c>
      <c r="K26" s="3" t="n">
        <v>5</v>
      </c>
      <c r="L26" s="3" t="n">
        <v>6</v>
      </c>
      <c r="M26" s="3" t="n">
        <v>0</v>
      </c>
      <c r="N26" s="3" t="n">
        <v>16</v>
      </c>
      <c r="O26" s="3" t="n">
        <v>0</v>
      </c>
      <c r="P26" s="3" t="n">
        <v>24</v>
      </c>
      <c r="Q26" s="3" t="n">
        <v>15</v>
      </c>
      <c r="R26" s="3" t="n">
        <v>14</v>
      </c>
      <c r="S26" s="3" t="n">
        <v>0</v>
      </c>
      <c r="T26" s="3" t="n">
        <v>11</v>
      </c>
      <c r="U26" s="3" t="n">
        <v>0</v>
      </c>
      <c r="V26" s="3" t="n">
        <v>7</v>
      </c>
      <c r="W26" s="3" t="n">
        <v>2</v>
      </c>
      <c r="X26" s="3" t="n">
        <v>0</v>
      </c>
      <c r="Y26" s="3" t="n">
        <v>2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2" t="n">
        <f aca="false">SUM(D26:AF26)</f>
        <v>106</v>
      </c>
      <c r="AH26" s="3" t="n">
        <f aca="false">AG26-C26</f>
        <v>0</v>
      </c>
      <c r="AI26" s="2" t="str">
        <f aca="false">IF(AH26=0,"COCOK","CEK SELISIH")</f>
        <v>COCOK</v>
      </c>
    </row>
    <row r="27" customFormat="false" ht="15" hidden="false" customHeight="false" outlineLevel="0" collapsed="false">
      <c r="A27" s="2" t="s">
        <v>132</v>
      </c>
      <c r="B27" s="2" t="s">
        <v>128</v>
      </c>
      <c r="C27" s="2" t="n">
        <v>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9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2" t="n">
        <f aca="false">SUM(D27:AF27)</f>
        <v>9</v>
      </c>
      <c r="AH27" s="3" t="n">
        <f aca="false">AG27-C27</f>
        <v>0</v>
      </c>
      <c r="AI27" s="2" t="str">
        <f aca="false">IF(AH27=0,"COCOK","CEK SELISIH")</f>
        <v>COCOK</v>
      </c>
    </row>
    <row r="28" customFormat="false" ht="15" hidden="false" customHeight="false" outlineLevel="0" collapsed="false">
      <c r="A28" s="2" t="s">
        <v>134</v>
      </c>
      <c r="B28" s="2" t="s">
        <v>57</v>
      </c>
      <c r="C28" s="2" t="n">
        <v>301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8</v>
      </c>
      <c r="L28" s="3" t="n">
        <v>15</v>
      </c>
      <c r="M28" s="3" t="n">
        <v>17</v>
      </c>
      <c r="N28" s="3" t="n">
        <v>41</v>
      </c>
      <c r="O28" s="3" t="n">
        <v>31</v>
      </c>
      <c r="P28" s="3" t="n">
        <v>44</v>
      </c>
      <c r="Q28" s="3" t="n">
        <v>40</v>
      </c>
      <c r="R28" s="3" t="n">
        <v>37</v>
      </c>
      <c r="S28" s="3" t="n">
        <v>31</v>
      </c>
      <c r="T28" s="3" t="n">
        <v>20</v>
      </c>
      <c r="U28" s="3" t="n">
        <v>1</v>
      </c>
      <c r="V28" s="3" t="n">
        <v>15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2" t="n">
        <f aca="false">SUM(D28:AF28)</f>
        <v>301</v>
      </c>
      <c r="AH28" s="3" t="n">
        <f aca="false">AG28-C28</f>
        <v>0</v>
      </c>
      <c r="AI28" s="2" t="str">
        <f aca="false">IF(AH28=0,"COCOK","CEK SELISIH")</f>
        <v>COCOK</v>
      </c>
    </row>
    <row r="29" customFormat="false" ht="15" hidden="false" customHeight="false" outlineLevel="0" collapsed="false">
      <c r="A29" s="2" t="s">
        <v>136</v>
      </c>
      <c r="B29" s="2" t="s">
        <v>57</v>
      </c>
      <c r="C29" s="2" t="n">
        <v>350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5</v>
      </c>
      <c r="L29" s="3" t="n">
        <v>50</v>
      </c>
      <c r="M29" s="3" t="n">
        <v>45</v>
      </c>
      <c r="N29" s="3" t="n">
        <v>5</v>
      </c>
      <c r="O29" s="3" t="n">
        <v>60</v>
      </c>
      <c r="P29" s="3" t="n">
        <v>50</v>
      </c>
      <c r="Q29" s="3" t="n">
        <v>5</v>
      </c>
      <c r="R29" s="3" t="n">
        <v>65</v>
      </c>
      <c r="S29" s="3" t="n">
        <v>40</v>
      </c>
      <c r="T29" s="3" t="n">
        <v>5</v>
      </c>
      <c r="U29" s="3" t="n">
        <v>15</v>
      </c>
      <c r="V29" s="3" t="n">
        <v>5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2" t="n">
        <f aca="false">SUM(D29:AF29)</f>
        <v>350</v>
      </c>
      <c r="AH29" s="3" t="n">
        <f aca="false">AG29-C29</f>
        <v>0</v>
      </c>
      <c r="AI29" s="2" t="str">
        <f aca="false">IF(AH29=0,"COCOK","CEK SELISIH")</f>
        <v>COCOK</v>
      </c>
    </row>
    <row r="30" customFormat="false" ht="15" hidden="false" customHeight="false" outlineLevel="0" collapsed="false">
      <c r="A30" s="2" t="s">
        <v>138</v>
      </c>
      <c r="B30" s="2" t="s">
        <v>57</v>
      </c>
      <c r="C30" s="2" t="n">
        <v>362</v>
      </c>
      <c r="D30" s="3" t="n">
        <v>0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2</v>
      </c>
      <c r="J30" s="3" t="n">
        <v>5</v>
      </c>
      <c r="K30" s="3" t="n">
        <v>7</v>
      </c>
      <c r="L30" s="3" t="n">
        <v>11</v>
      </c>
      <c r="M30" s="3" t="n">
        <v>13</v>
      </c>
      <c r="N30" s="3" t="n">
        <v>38</v>
      </c>
      <c r="O30" s="3" t="n">
        <v>30</v>
      </c>
      <c r="P30" s="3" t="n">
        <v>109</v>
      </c>
      <c r="Q30" s="3" t="n">
        <v>53</v>
      </c>
      <c r="R30" s="3" t="n">
        <v>33</v>
      </c>
      <c r="S30" s="3" t="n">
        <v>26</v>
      </c>
      <c r="T30" s="3" t="n">
        <v>17</v>
      </c>
      <c r="U30" s="3" t="n">
        <v>2</v>
      </c>
      <c r="V30" s="3" t="n">
        <v>12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2" t="n">
        <f aca="false">SUM(D30:AF30)</f>
        <v>362</v>
      </c>
      <c r="AH30" s="3" t="n">
        <f aca="false">AG30-C30</f>
        <v>0</v>
      </c>
      <c r="AI30" s="2" t="str">
        <f aca="false">IF(AH30=0,"COCOK","CEK SELISIH")</f>
        <v>COCOK</v>
      </c>
    </row>
    <row r="31" customFormat="false" ht="15" hidden="false" customHeight="false" outlineLevel="0" collapsed="false">
      <c r="A31" s="2" t="s">
        <v>140</v>
      </c>
      <c r="B31" s="2" t="s">
        <v>128</v>
      </c>
      <c r="C31" s="2" t="n">
        <v>607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54</v>
      </c>
      <c r="K31" s="3" t="n">
        <v>0</v>
      </c>
      <c r="L31" s="3" t="n">
        <v>47</v>
      </c>
      <c r="M31" s="3" t="n">
        <v>0</v>
      </c>
      <c r="N31" s="3" t="n">
        <v>64</v>
      </c>
      <c r="O31" s="3" t="n">
        <v>66</v>
      </c>
      <c r="P31" s="3" t="n">
        <v>116</v>
      </c>
      <c r="Q31" s="3" t="n">
        <v>71</v>
      </c>
      <c r="R31" s="3" t="n">
        <v>79</v>
      </c>
      <c r="S31" s="3" t="n">
        <v>59</v>
      </c>
      <c r="T31" s="3" t="n">
        <v>51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2" t="n">
        <f aca="false">SUM(D31:AF31)</f>
        <v>607</v>
      </c>
      <c r="AH31" s="3" t="n">
        <f aca="false">AG31-C31</f>
        <v>0</v>
      </c>
      <c r="AI31" s="2" t="str">
        <f aca="false">IF(AH31=0,"COCOK","CEK SELISIH")</f>
        <v>COCOK</v>
      </c>
    </row>
    <row r="32" customFormat="false" ht="15" hidden="false" customHeight="false" outlineLevel="0" collapsed="false">
      <c r="A32" s="2" t="s">
        <v>142</v>
      </c>
      <c r="B32" s="2" t="s">
        <v>82</v>
      </c>
      <c r="C32" s="2" t="n">
        <v>435</v>
      </c>
      <c r="D32" s="3" t="n">
        <v>0</v>
      </c>
      <c r="E32" s="3" t="n">
        <v>5</v>
      </c>
      <c r="F32" s="3" t="n">
        <v>0</v>
      </c>
      <c r="G32" s="3" t="n">
        <v>5</v>
      </c>
      <c r="H32" s="3" t="n">
        <v>10</v>
      </c>
      <c r="I32" s="3" t="n">
        <v>15</v>
      </c>
      <c r="J32" s="3" t="n">
        <v>20</v>
      </c>
      <c r="K32" s="3" t="n">
        <v>20</v>
      </c>
      <c r="L32" s="3" t="n">
        <v>25</v>
      </c>
      <c r="M32" s="3" t="n">
        <v>25</v>
      </c>
      <c r="N32" s="3" t="n">
        <v>40</v>
      </c>
      <c r="O32" s="3" t="n">
        <v>40</v>
      </c>
      <c r="P32" s="3" t="n">
        <v>50</v>
      </c>
      <c r="Q32" s="3" t="n">
        <v>40</v>
      </c>
      <c r="R32" s="3" t="n">
        <v>35</v>
      </c>
      <c r="S32" s="3" t="n">
        <v>35</v>
      </c>
      <c r="T32" s="3" t="n">
        <v>30</v>
      </c>
      <c r="U32" s="3" t="n">
        <v>15</v>
      </c>
      <c r="V32" s="3" t="n">
        <v>15</v>
      </c>
      <c r="W32" s="3" t="n">
        <v>5</v>
      </c>
      <c r="X32" s="3" t="n">
        <v>0</v>
      </c>
      <c r="Y32" s="3" t="n">
        <v>5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2" t="n">
        <f aca="false">SUM(D32:AF32)</f>
        <v>435</v>
      </c>
      <c r="AH32" s="3" t="n">
        <f aca="false">AG32-C32</f>
        <v>0</v>
      </c>
      <c r="AI32" s="2" t="str">
        <f aca="false">IF(AH32=0,"COCOK","CEK SELISIH")</f>
        <v>COCOK</v>
      </c>
    </row>
    <row r="33" customFormat="false" ht="15" hidden="false" customHeight="false" outlineLevel="0" collapsed="false">
      <c r="A33" s="2" t="s">
        <v>144</v>
      </c>
      <c r="B33" s="2" t="s">
        <v>82</v>
      </c>
      <c r="C33" s="2" t="n">
        <v>1100</v>
      </c>
      <c r="D33" s="3" t="n">
        <v>3</v>
      </c>
      <c r="E33" s="3" t="n">
        <v>1</v>
      </c>
      <c r="F33" s="3" t="n">
        <v>0</v>
      </c>
      <c r="G33" s="3" t="n">
        <v>0</v>
      </c>
      <c r="H33" s="3" t="n">
        <v>0</v>
      </c>
      <c r="I33" s="3" t="n">
        <v>4</v>
      </c>
      <c r="J33" s="3" t="n">
        <v>13</v>
      </c>
      <c r="K33" s="3" t="n">
        <v>60</v>
      </c>
      <c r="L33" s="3" t="n">
        <v>106</v>
      </c>
      <c r="M33" s="3" t="n">
        <v>134</v>
      </c>
      <c r="N33" s="3" t="n">
        <v>94</v>
      </c>
      <c r="O33" s="3" t="n">
        <v>94</v>
      </c>
      <c r="P33" s="3" t="n">
        <v>131</v>
      </c>
      <c r="Q33" s="3" t="n">
        <v>104</v>
      </c>
      <c r="R33" s="3" t="n">
        <v>146</v>
      </c>
      <c r="S33" s="3" t="n">
        <v>91</v>
      </c>
      <c r="T33" s="3" t="n">
        <v>71</v>
      </c>
      <c r="U33" s="3" t="n">
        <v>18</v>
      </c>
      <c r="V33" s="3" t="n">
        <v>23</v>
      </c>
      <c r="W33" s="3" t="n">
        <v>2</v>
      </c>
      <c r="X33" s="3" t="n">
        <v>0</v>
      </c>
      <c r="Y33" s="3" t="n">
        <v>5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2" t="n">
        <f aca="false">SUM(D33:AF33)</f>
        <v>1100</v>
      </c>
      <c r="AH33" s="3" t="n">
        <f aca="false">AG33-C33</f>
        <v>0</v>
      </c>
      <c r="AI33" s="2" t="str">
        <f aca="false">IF(AH33=0,"COCOK","CEK SELISIH")</f>
        <v>COCOK</v>
      </c>
    </row>
    <row r="34" customFormat="false" ht="15" hidden="false" customHeight="false" outlineLevel="0" collapsed="false">
      <c r="A34" s="2" t="s">
        <v>146</v>
      </c>
      <c r="B34" s="2" t="s">
        <v>73</v>
      </c>
      <c r="C34" s="2" t="n">
        <v>365</v>
      </c>
      <c r="D34" s="3" t="n">
        <v>0</v>
      </c>
      <c r="E34" s="3" t="n">
        <v>0</v>
      </c>
      <c r="F34" s="3" t="n">
        <v>0</v>
      </c>
      <c r="G34" s="3" t="n">
        <v>10</v>
      </c>
      <c r="H34" s="3" t="n">
        <v>20</v>
      </c>
      <c r="I34" s="3" t="n">
        <v>10</v>
      </c>
      <c r="J34" s="3" t="n">
        <v>25</v>
      </c>
      <c r="K34" s="3" t="n">
        <v>20</v>
      </c>
      <c r="L34" s="3" t="n">
        <v>25</v>
      </c>
      <c r="M34" s="3" t="n">
        <v>25</v>
      </c>
      <c r="N34" s="3" t="n">
        <v>35</v>
      </c>
      <c r="O34" s="3" t="n">
        <v>30</v>
      </c>
      <c r="P34" s="3" t="n">
        <v>40</v>
      </c>
      <c r="Q34" s="3" t="n">
        <v>30</v>
      </c>
      <c r="R34" s="3" t="n">
        <v>25</v>
      </c>
      <c r="S34" s="3" t="n">
        <v>25</v>
      </c>
      <c r="T34" s="3" t="n">
        <v>20</v>
      </c>
      <c r="U34" s="3" t="n">
        <v>10</v>
      </c>
      <c r="V34" s="3" t="n">
        <v>10</v>
      </c>
      <c r="W34" s="3" t="n">
        <v>5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2" t="n">
        <f aca="false">SUM(D34:AF34)</f>
        <v>365</v>
      </c>
      <c r="AH34" s="3" t="n">
        <f aca="false">AG34-C34</f>
        <v>0</v>
      </c>
      <c r="AI34" s="2" t="str">
        <f aca="false">IF(AH34=0,"COCOK","CEK SELISIH")</f>
        <v>COCOK</v>
      </c>
    </row>
    <row r="35" customFormat="false" ht="15" hidden="false" customHeight="false" outlineLevel="0" collapsed="false">
      <c r="A35" s="2" t="s">
        <v>148</v>
      </c>
      <c r="B35" s="2" t="s">
        <v>73</v>
      </c>
      <c r="C35" s="2" t="n">
        <v>370</v>
      </c>
      <c r="D35" s="3" t="n">
        <v>0</v>
      </c>
      <c r="E35" s="3" t="n">
        <v>0</v>
      </c>
      <c r="F35" s="3" t="n">
        <v>5</v>
      </c>
      <c r="G35" s="3" t="n">
        <v>5</v>
      </c>
      <c r="H35" s="3" t="n">
        <v>10</v>
      </c>
      <c r="I35" s="3" t="n">
        <v>5</v>
      </c>
      <c r="J35" s="3" t="n">
        <v>15</v>
      </c>
      <c r="K35" s="3" t="n">
        <v>20</v>
      </c>
      <c r="L35" s="3" t="n">
        <v>10</v>
      </c>
      <c r="M35" s="3" t="n">
        <v>35</v>
      </c>
      <c r="N35" s="3" t="n">
        <v>60</v>
      </c>
      <c r="O35" s="3" t="n">
        <v>15</v>
      </c>
      <c r="P35" s="3" t="n">
        <v>65</v>
      </c>
      <c r="Q35" s="3" t="n">
        <v>45</v>
      </c>
      <c r="R35" s="3" t="n">
        <v>15</v>
      </c>
      <c r="S35" s="3" t="n">
        <v>30</v>
      </c>
      <c r="T35" s="3" t="n">
        <v>20</v>
      </c>
      <c r="U35" s="3" t="n">
        <v>5</v>
      </c>
      <c r="V35" s="3" t="n">
        <v>10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2" t="n">
        <f aca="false">SUM(D35:AF35)</f>
        <v>370</v>
      </c>
      <c r="AH35" s="3" t="n">
        <f aca="false">AG35-C35</f>
        <v>0</v>
      </c>
      <c r="AI35" s="2" t="str">
        <f aca="false">IF(AH35=0,"COCOK","CEK SELISIH")</f>
        <v>COCOK</v>
      </c>
    </row>
    <row r="36" customFormat="false" ht="15" hidden="false" customHeight="false" outlineLevel="0" collapsed="false">
      <c r="A36" s="2" t="s">
        <v>150</v>
      </c>
      <c r="B36" s="2" t="s">
        <v>73</v>
      </c>
      <c r="C36" s="2" t="n">
        <v>618</v>
      </c>
      <c r="D36" s="3" t="n">
        <v>2</v>
      </c>
      <c r="E36" s="3" t="n">
        <v>6</v>
      </c>
      <c r="F36" s="3" t="n">
        <v>10</v>
      </c>
      <c r="G36" s="3" t="n">
        <v>39</v>
      </c>
      <c r="H36" s="3" t="n">
        <v>39</v>
      </c>
      <c r="I36" s="3" t="n">
        <v>68</v>
      </c>
      <c r="J36" s="3" t="n">
        <v>58</v>
      </c>
      <c r="K36" s="3" t="n">
        <v>43</v>
      </c>
      <c r="L36" s="3" t="n">
        <v>39</v>
      </c>
      <c r="M36" s="3" t="n">
        <v>38</v>
      </c>
      <c r="N36" s="3" t="n">
        <v>32</v>
      </c>
      <c r="O36" s="3" t="n">
        <v>25</v>
      </c>
      <c r="P36" s="3" t="n">
        <v>46</v>
      </c>
      <c r="Q36" s="3" t="n">
        <v>22</v>
      </c>
      <c r="R36" s="3" t="n">
        <v>23</v>
      </c>
      <c r="S36" s="3" t="n">
        <v>26</v>
      </c>
      <c r="T36" s="3" t="n">
        <v>55</v>
      </c>
      <c r="U36" s="3" t="n">
        <v>18</v>
      </c>
      <c r="V36" s="3" t="n">
        <v>18</v>
      </c>
      <c r="W36" s="3" t="n">
        <v>7</v>
      </c>
      <c r="X36" s="3" t="n">
        <v>0</v>
      </c>
      <c r="Y36" s="3" t="n">
        <v>4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2" t="n">
        <f aca="false">SUM(D36:AF36)</f>
        <v>618</v>
      </c>
      <c r="AH36" s="3" t="n">
        <f aca="false">AG36-C36</f>
        <v>0</v>
      </c>
      <c r="AI36" s="2" t="str">
        <f aca="false">IF(AH36=0,"COCOK","CEK SELISIH")</f>
        <v>COCOK</v>
      </c>
    </row>
    <row r="37" customFormat="false" ht="15" hidden="false" customHeight="false" outlineLevel="0" collapsed="false">
      <c r="A37" s="2" t="s">
        <v>152</v>
      </c>
      <c r="B37" s="2" t="s">
        <v>154</v>
      </c>
      <c r="C37" s="2" t="n">
        <v>351</v>
      </c>
      <c r="D37" s="3" t="n">
        <v>1</v>
      </c>
      <c r="E37" s="3" t="n">
        <v>0</v>
      </c>
      <c r="F37" s="3" t="n">
        <v>2</v>
      </c>
      <c r="G37" s="3" t="n">
        <v>14</v>
      </c>
      <c r="H37" s="3" t="n">
        <v>0</v>
      </c>
      <c r="I37" s="3" t="n">
        <v>17</v>
      </c>
      <c r="J37" s="3" t="n">
        <v>18</v>
      </c>
      <c r="K37" s="3" t="n">
        <v>45</v>
      </c>
      <c r="L37" s="3" t="n">
        <v>59</v>
      </c>
      <c r="M37" s="3" t="n">
        <v>0</v>
      </c>
      <c r="N37" s="3" t="n">
        <v>58</v>
      </c>
      <c r="O37" s="3" t="n">
        <v>0</v>
      </c>
      <c r="P37" s="3" t="n">
        <v>58</v>
      </c>
      <c r="Q37" s="3" t="n">
        <v>50</v>
      </c>
      <c r="R37" s="3" t="n">
        <v>0</v>
      </c>
      <c r="S37" s="3" t="n">
        <v>19</v>
      </c>
      <c r="T37" s="3" t="n">
        <v>0</v>
      </c>
      <c r="U37" s="3" t="n">
        <v>8</v>
      </c>
      <c r="V37" s="3" t="n">
        <v>2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2" t="n">
        <f aca="false">SUM(D37:AF37)</f>
        <v>351</v>
      </c>
      <c r="AH37" s="3" t="n">
        <f aca="false">AG37-C37</f>
        <v>0</v>
      </c>
      <c r="AI37" s="2" t="str">
        <f aca="false">IF(AH37=0,"COCOK","CEK SELISIH")</f>
        <v>COCOK</v>
      </c>
    </row>
    <row r="38" customFormat="false" ht="15" hidden="false" customHeight="false" outlineLevel="0" collapsed="false">
      <c r="A38" s="2" t="s">
        <v>158</v>
      </c>
      <c r="B38" s="2" t="s">
        <v>154</v>
      </c>
      <c r="C38" s="2" t="n">
        <v>525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36</v>
      </c>
      <c r="L38" s="3" t="n">
        <v>2</v>
      </c>
      <c r="M38" s="3" t="n">
        <v>104</v>
      </c>
      <c r="N38" s="3" t="n">
        <v>36</v>
      </c>
      <c r="O38" s="3" t="n">
        <v>104</v>
      </c>
      <c r="P38" s="3" t="n">
        <v>36</v>
      </c>
      <c r="Q38" s="3" t="n">
        <v>103</v>
      </c>
      <c r="R38" s="3" t="n">
        <v>1</v>
      </c>
      <c r="S38" s="3" t="n">
        <v>68</v>
      </c>
      <c r="T38" s="3" t="n">
        <v>34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2" t="n">
        <f aca="false">SUM(D38:AF38)</f>
        <v>525</v>
      </c>
      <c r="AH38" s="3" t="n">
        <f aca="false">AG38-C38</f>
        <v>0</v>
      </c>
      <c r="AI38" s="2" t="str">
        <f aca="false">IF(AH38=0,"COCOK","CEK SELISIH")</f>
        <v>COCOK</v>
      </c>
    </row>
    <row r="39" customFormat="false" ht="15" hidden="false" customHeight="false" outlineLevel="0" collapsed="false">
      <c r="A39" s="2" t="s">
        <v>161</v>
      </c>
      <c r="B39" s="2" t="s">
        <v>154</v>
      </c>
      <c r="C39" s="2" t="n">
        <v>852</v>
      </c>
      <c r="D39" s="3" t="n">
        <v>0</v>
      </c>
      <c r="E39" s="3" t="n">
        <v>3</v>
      </c>
      <c r="F39" s="3" t="n">
        <v>3</v>
      </c>
      <c r="G39" s="3" t="n">
        <v>3</v>
      </c>
      <c r="H39" s="3" t="n">
        <v>2</v>
      </c>
      <c r="I39" s="3" t="n">
        <v>1</v>
      </c>
      <c r="J39" s="3" t="n">
        <v>1</v>
      </c>
      <c r="K39" s="3" t="n">
        <v>2</v>
      </c>
      <c r="L39" s="3" t="n">
        <v>72</v>
      </c>
      <c r="M39" s="3" t="n">
        <v>141</v>
      </c>
      <c r="N39" s="3" t="n">
        <v>176</v>
      </c>
      <c r="O39" s="3" t="n">
        <v>139</v>
      </c>
      <c r="P39" s="3" t="n">
        <v>138</v>
      </c>
      <c r="Q39" s="3" t="n">
        <v>102</v>
      </c>
      <c r="R39" s="3" t="n">
        <v>69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2" t="n">
        <f aca="false">SUM(D39:AF39)</f>
        <v>852</v>
      </c>
      <c r="AH39" s="3" t="n">
        <f aca="false">AG39-C39</f>
        <v>0</v>
      </c>
      <c r="AI39" s="2" t="str">
        <f aca="false">IF(AH39=0,"COCOK","CEK SELISIH")</f>
        <v>COCOK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n">
        <v>650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6</v>
      </c>
      <c r="K40" s="3" t="n">
        <v>10</v>
      </c>
      <c r="L40" s="3" t="n">
        <v>23</v>
      </c>
      <c r="M40" s="3" t="n">
        <v>29</v>
      </c>
      <c r="N40" s="3" t="n">
        <v>81</v>
      </c>
      <c r="O40" s="3" t="n">
        <v>72</v>
      </c>
      <c r="P40" s="3" t="n">
        <v>117</v>
      </c>
      <c r="Q40" s="3" t="n">
        <v>88</v>
      </c>
      <c r="R40" s="3" t="n">
        <v>78</v>
      </c>
      <c r="S40" s="3" t="n">
        <v>71</v>
      </c>
      <c r="T40" s="3" t="n">
        <v>49</v>
      </c>
      <c r="U40" s="3" t="n">
        <v>0</v>
      </c>
      <c r="V40" s="3" t="n">
        <v>26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2" t="n">
        <f aca="false">SUM(D40:AF40)</f>
        <v>650</v>
      </c>
      <c r="AH40" s="3" t="n">
        <f aca="false">AG40-C40</f>
        <v>0</v>
      </c>
      <c r="AI40" s="2" t="str">
        <f aca="false">IF(AH40=0,"COCOK","CEK SELISIH")</f>
        <v>COCOK</v>
      </c>
    </row>
    <row r="41" customFormat="false" ht="15" hidden="false" customHeight="false" outlineLevel="0" collapsed="false">
      <c r="A41" s="2" t="s">
        <v>167</v>
      </c>
      <c r="B41" s="2" t="s">
        <v>164</v>
      </c>
      <c r="C41" s="2" t="n">
        <v>650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10</v>
      </c>
      <c r="K41" s="3" t="n">
        <v>32</v>
      </c>
      <c r="L41" s="3" t="n">
        <v>36</v>
      </c>
      <c r="M41" s="3" t="n">
        <v>36</v>
      </c>
      <c r="N41" s="3" t="n">
        <v>107</v>
      </c>
      <c r="O41" s="3" t="n">
        <v>49</v>
      </c>
      <c r="P41" s="3" t="n">
        <v>130</v>
      </c>
      <c r="Q41" s="3" t="n">
        <v>62</v>
      </c>
      <c r="R41" s="3" t="n">
        <v>71</v>
      </c>
      <c r="S41" s="3" t="n">
        <v>52</v>
      </c>
      <c r="T41" s="3" t="n">
        <v>36</v>
      </c>
      <c r="U41" s="3" t="n">
        <v>0</v>
      </c>
      <c r="V41" s="3" t="n">
        <v>29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2" t="n">
        <f aca="false">SUM(D41:AF41)</f>
        <v>650</v>
      </c>
      <c r="AH41" s="3" t="n">
        <f aca="false">AG41-C41</f>
        <v>0</v>
      </c>
      <c r="AI41" s="2" t="str">
        <f aca="false">IF(AH41=0,"COCOK","CEK SELISIH")</f>
        <v>COCOK</v>
      </c>
    </row>
    <row r="42" customFormat="false" ht="15" hidden="false" customHeight="false" outlineLevel="0" collapsed="false">
      <c r="A42" s="2" t="s">
        <v>169</v>
      </c>
      <c r="B42" s="2" t="s">
        <v>164</v>
      </c>
      <c r="C42" s="2" t="n">
        <v>300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13</v>
      </c>
      <c r="L42" s="3" t="n">
        <v>33</v>
      </c>
      <c r="M42" s="3" t="n">
        <v>51</v>
      </c>
      <c r="N42" s="3" t="n">
        <v>53</v>
      </c>
      <c r="O42" s="3" t="n">
        <v>48</v>
      </c>
      <c r="P42" s="3" t="n">
        <v>39</v>
      </c>
      <c r="Q42" s="3" t="n">
        <v>36</v>
      </c>
      <c r="R42" s="3" t="n">
        <v>16</v>
      </c>
      <c r="S42" s="3" t="n">
        <v>5</v>
      </c>
      <c r="T42" s="3" t="n">
        <v>3</v>
      </c>
      <c r="U42" s="3" t="n">
        <v>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2" t="n">
        <f aca="false">SUM(D42:AF42)</f>
        <v>300</v>
      </c>
      <c r="AH42" s="3" t="n">
        <f aca="false">AG42-C42</f>
        <v>0</v>
      </c>
      <c r="AI42" s="2" t="str">
        <f aca="false">IF(AH42=0,"COCOK","CEK SELISIH")</f>
        <v>COCOK</v>
      </c>
    </row>
    <row r="43" customFormat="false" ht="15" hidden="false" customHeight="false" outlineLevel="0" collapsed="false">
      <c r="A43" s="2" t="s">
        <v>171</v>
      </c>
      <c r="B43" s="2" t="s">
        <v>172</v>
      </c>
      <c r="C43" s="2" t="n">
        <v>300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10</v>
      </c>
      <c r="L43" s="3" t="n">
        <v>22</v>
      </c>
      <c r="M43" s="3" t="n">
        <v>47</v>
      </c>
      <c r="N43" s="3" t="n">
        <v>50</v>
      </c>
      <c r="O43" s="3" t="n">
        <v>51</v>
      </c>
      <c r="P43" s="3" t="n">
        <v>50</v>
      </c>
      <c r="Q43" s="3" t="n">
        <v>31</v>
      </c>
      <c r="R43" s="3" t="n">
        <v>18</v>
      </c>
      <c r="S43" s="3" t="n">
        <v>16</v>
      </c>
      <c r="T43" s="3" t="n">
        <v>0</v>
      </c>
      <c r="U43" s="3" t="n">
        <v>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2" t="n">
        <f aca="false">SUM(D43:AF43)</f>
        <v>300</v>
      </c>
      <c r="AH43" s="3" t="n">
        <f aca="false">AG43-C43</f>
        <v>0</v>
      </c>
      <c r="AI43" s="2" t="str">
        <f aca="false">IF(AH43=0,"COCOK","CEK SELISIH")</f>
        <v>COCOK</v>
      </c>
    </row>
    <row r="44" customFormat="false" ht="15" hidden="false" customHeight="false" outlineLevel="0" collapsed="false">
      <c r="A44" s="2" t="s">
        <v>176</v>
      </c>
      <c r="B44" s="2" t="s">
        <v>172</v>
      </c>
      <c r="C44" s="2" t="n">
        <v>360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12</v>
      </c>
      <c r="K44" s="3" t="n">
        <v>18</v>
      </c>
      <c r="L44" s="3" t="n">
        <v>25</v>
      </c>
      <c r="M44" s="3" t="n">
        <v>32</v>
      </c>
      <c r="N44" s="3" t="n">
        <v>39</v>
      </c>
      <c r="O44" s="3" t="n">
        <v>40</v>
      </c>
      <c r="P44" s="3" t="n">
        <v>40</v>
      </c>
      <c r="Q44" s="3" t="n">
        <v>40</v>
      </c>
      <c r="R44" s="3" t="n">
        <v>39</v>
      </c>
      <c r="S44" s="3" t="n">
        <v>32</v>
      </c>
      <c r="T44" s="3" t="n">
        <v>19</v>
      </c>
      <c r="U44" s="3" t="n">
        <v>12</v>
      </c>
      <c r="V44" s="3" t="n">
        <v>8</v>
      </c>
      <c r="W44" s="3" t="n">
        <v>4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2" t="n">
        <f aca="false">SUM(D44:AF44)</f>
        <v>360</v>
      </c>
      <c r="AH44" s="3" t="n">
        <f aca="false">AG44-C44</f>
        <v>0</v>
      </c>
      <c r="AI44" s="2" t="str">
        <f aca="false">IF(AH44=0,"COCOK","CEK SELISIH")</f>
        <v>COCOK</v>
      </c>
    </row>
    <row r="45" customFormat="false" ht="15" hidden="false" customHeight="false" outlineLevel="0" collapsed="false">
      <c r="A45" s="2" t="s">
        <v>179</v>
      </c>
      <c r="B45" s="2" t="s">
        <v>172</v>
      </c>
      <c r="C45" s="2" t="n">
        <v>530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</v>
      </c>
      <c r="K45" s="3" t="n">
        <v>36</v>
      </c>
      <c r="L45" s="3" t="n">
        <v>2</v>
      </c>
      <c r="M45" s="3" t="n">
        <v>105</v>
      </c>
      <c r="N45" s="3" t="n">
        <v>34</v>
      </c>
      <c r="O45" s="3" t="n">
        <v>105</v>
      </c>
      <c r="P45" s="3" t="n">
        <v>36</v>
      </c>
      <c r="Q45" s="3" t="n">
        <v>105</v>
      </c>
      <c r="R45" s="3" t="n">
        <v>0</v>
      </c>
      <c r="S45" s="3" t="n">
        <v>71</v>
      </c>
      <c r="T45" s="3" t="n">
        <v>34</v>
      </c>
      <c r="U45" s="3" t="n">
        <v>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2" t="n">
        <f aca="false">SUM(D45:AF45)</f>
        <v>530</v>
      </c>
      <c r="AH45" s="3" t="n">
        <f aca="false">AG45-C45</f>
        <v>0</v>
      </c>
      <c r="AI45" s="2" t="str">
        <f aca="false">IF(AH45=0,"COCOK","CEK SELISIH")</f>
        <v>COCOK</v>
      </c>
    </row>
    <row r="46" customFormat="false" ht="15" hidden="false" customHeight="false" outlineLevel="0" collapsed="false">
      <c r="A46" s="2" t="s">
        <v>181</v>
      </c>
      <c r="B46" s="2" t="s">
        <v>172</v>
      </c>
      <c r="C46" s="2" t="n">
        <v>564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47</v>
      </c>
      <c r="M46" s="3" t="n">
        <v>94</v>
      </c>
      <c r="N46" s="3" t="n">
        <v>124</v>
      </c>
      <c r="O46" s="3" t="n">
        <v>94</v>
      </c>
      <c r="P46" s="3" t="n">
        <v>94</v>
      </c>
      <c r="Q46" s="3" t="n">
        <v>64</v>
      </c>
      <c r="R46" s="3" t="n">
        <v>47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2" t="n">
        <f aca="false">SUM(D46:AF46)</f>
        <v>564</v>
      </c>
      <c r="AH46" s="3" t="n">
        <f aca="false">AG46-C46</f>
        <v>0</v>
      </c>
      <c r="AI46" s="2" t="str">
        <f aca="false">IF(AH46=0,"COCOK","CEK SELISIH")</f>
        <v>COCOK</v>
      </c>
    </row>
    <row r="47" customFormat="false" ht="15" hidden="false" customHeight="false" outlineLevel="0" collapsed="false">
      <c r="A47" s="2" t="s">
        <v>183</v>
      </c>
      <c r="B47" s="2" t="s">
        <v>172</v>
      </c>
      <c r="C47" s="2" t="n">
        <v>983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73</v>
      </c>
      <c r="K47" s="3" t="n">
        <v>80</v>
      </c>
      <c r="L47" s="3" t="n">
        <v>158</v>
      </c>
      <c r="M47" s="3" t="n">
        <v>0</v>
      </c>
      <c r="N47" s="3" t="n">
        <v>238</v>
      </c>
      <c r="O47" s="3" t="n">
        <v>0</v>
      </c>
      <c r="P47" s="3" t="n">
        <v>172</v>
      </c>
      <c r="Q47" s="3" t="n">
        <v>165</v>
      </c>
      <c r="R47" s="3" t="n">
        <v>0</v>
      </c>
      <c r="S47" s="3" t="n">
        <v>85</v>
      </c>
      <c r="T47" s="3" t="n">
        <v>0</v>
      </c>
      <c r="U47" s="3" t="n">
        <v>11</v>
      </c>
      <c r="V47" s="3" t="n">
        <v>1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2" t="n">
        <f aca="false">SUM(D47:AF47)</f>
        <v>983</v>
      </c>
      <c r="AH47" s="3" t="n">
        <f aca="false">AG47-C47</f>
        <v>0</v>
      </c>
      <c r="AI47" s="2" t="str">
        <f aca="false">IF(AH47=0,"COCOK","CEK SELISIH")</f>
        <v>COCOK</v>
      </c>
    </row>
    <row r="48" customFormat="false" ht="15" hidden="false" customHeight="false" outlineLevel="0" collapsed="false">
      <c r="A48" s="2" t="s">
        <v>185</v>
      </c>
      <c r="B48" s="2" t="s">
        <v>172</v>
      </c>
      <c r="C48" s="2" t="n">
        <v>1470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170</v>
      </c>
      <c r="M48" s="3" t="n">
        <v>210</v>
      </c>
      <c r="N48" s="3" t="n">
        <v>0</v>
      </c>
      <c r="O48" s="3" t="n">
        <v>450</v>
      </c>
      <c r="P48" s="3" t="n">
        <v>260</v>
      </c>
      <c r="Q48" s="3" t="n">
        <v>0</v>
      </c>
      <c r="R48" s="3" t="n">
        <v>280</v>
      </c>
      <c r="S48" s="3" t="n">
        <v>70</v>
      </c>
      <c r="T48" s="3" t="n">
        <v>0</v>
      </c>
      <c r="U48" s="3" t="n">
        <v>30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2" t="n">
        <f aca="false">SUM(D48:AF48)</f>
        <v>1470</v>
      </c>
      <c r="AH48" s="3" t="n">
        <f aca="false">AG48-C48</f>
        <v>0</v>
      </c>
      <c r="AI48" s="2" t="str">
        <f aca="false">IF(AH48=0,"COCOK","CEK SELISIH")</f>
        <v>COCOK</v>
      </c>
    </row>
    <row r="49" customFormat="false" ht="15" hidden="false" customHeight="false" outlineLevel="0" collapsed="false">
      <c r="A49" s="2" t="s">
        <v>188</v>
      </c>
      <c r="B49" s="2" t="s">
        <v>172</v>
      </c>
      <c r="C49" s="2" t="n">
        <v>9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9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2" t="n">
        <f aca="false">SUM(D49:AF49)</f>
        <v>9</v>
      </c>
      <c r="AH49" s="3" t="n">
        <f aca="false">AG49-C49</f>
        <v>0</v>
      </c>
      <c r="AI49" s="2" t="str">
        <f aca="false">IF(AH49=0,"COCOK","CEK SELISIH")</f>
        <v>COCOK</v>
      </c>
    </row>
    <row r="50" customFormat="false" ht="15" hidden="false" customHeight="false" outlineLevel="0" collapsed="false">
      <c r="A50" s="2" t="s">
        <v>190</v>
      </c>
      <c r="B50" s="2" t="s">
        <v>172</v>
      </c>
      <c r="C50" s="2" t="n">
        <v>1950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195</v>
      </c>
      <c r="M50" s="3" t="n">
        <v>390</v>
      </c>
      <c r="N50" s="3" t="n">
        <v>0</v>
      </c>
      <c r="O50" s="3" t="n">
        <v>390</v>
      </c>
      <c r="P50" s="3" t="n">
        <v>390</v>
      </c>
      <c r="Q50" s="3" t="n">
        <v>0</v>
      </c>
      <c r="R50" s="3" t="n">
        <v>195</v>
      </c>
      <c r="S50" s="3" t="n">
        <v>195</v>
      </c>
      <c r="T50" s="3" t="n">
        <v>0</v>
      </c>
      <c r="U50" s="3" t="n">
        <v>195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2" t="n">
        <f aca="false">SUM(D50:AF50)</f>
        <v>1950</v>
      </c>
      <c r="AH50" s="3" t="n">
        <f aca="false">AG50-C50</f>
        <v>0</v>
      </c>
      <c r="AI50" s="2" t="str">
        <f aca="false">IF(AH50=0,"COCOK","CEK SELISIH")</f>
        <v>COCOK</v>
      </c>
    </row>
    <row r="51" customFormat="false" ht="15" hidden="false" customHeight="false" outlineLevel="0" collapsed="false">
      <c r="A51" s="2" t="s">
        <v>192</v>
      </c>
      <c r="B51" s="2" t="s">
        <v>154</v>
      </c>
      <c r="C51" s="2" t="n">
        <v>365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47</v>
      </c>
      <c r="K51" s="3" t="n">
        <v>0</v>
      </c>
      <c r="L51" s="3" t="n">
        <v>126</v>
      </c>
      <c r="M51" s="3" t="n">
        <v>0</v>
      </c>
      <c r="N51" s="3" t="n">
        <v>120</v>
      </c>
      <c r="O51" s="3" t="n">
        <v>0</v>
      </c>
      <c r="P51" s="3" t="n">
        <v>56</v>
      </c>
      <c r="Q51" s="3" t="n">
        <v>0</v>
      </c>
      <c r="R51" s="3" t="n">
        <v>16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2" t="n">
        <f aca="false">SUM(D51:AF51)</f>
        <v>365</v>
      </c>
      <c r="AH51" s="3" t="n">
        <f aca="false">AG51-C51</f>
        <v>0</v>
      </c>
      <c r="AI51" s="2" t="str">
        <f aca="false">IF(AH51=0,"COCOK","CEK SELISIH")</f>
        <v>COCOK</v>
      </c>
    </row>
    <row r="52" customFormat="false" ht="15" hidden="false" customHeight="false" outlineLevel="0" collapsed="false">
      <c r="A52" s="2" t="s">
        <v>195</v>
      </c>
      <c r="B52" s="2" t="s">
        <v>154</v>
      </c>
      <c r="C52" s="2" t="n">
        <v>419</v>
      </c>
      <c r="D52" s="3" t="n">
        <v>1</v>
      </c>
      <c r="E52" s="3" t="n">
        <v>2</v>
      </c>
      <c r="F52" s="3" t="n">
        <v>1</v>
      </c>
      <c r="G52" s="3" t="n">
        <v>2</v>
      </c>
      <c r="H52" s="3" t="n">
        <v>7</v>
      </c>
      <c r="I52" s="3" t="n">
        <v>1</v>
      </c>
      <c r="J52" s="3" t="n">
        <v>2</v>
      </c>
      <c r="K52" s="3" t="n">
        <v>29</v>
      </c>
      <c r="L52" s="3" t="n">
        <v>14</v>
      </c>
      <c r="M52" s="3" t="n">
        <v>47</v>
      </c>
      <c r="N52" s="3" t="n">
        <v>61</v>
      </c>
      <c r="O52" s="3" t="n">
        <v>49</v>
      </c>
      <c r="P52" s="3" t="n">
        <v>62</v>
      </c>
      <c r="Q52" s="3" t="n">
        <v>45</v>
      </c>
      <c r="R52" s="3" t="n">
        <v>23</v>
      </c>
      <c r="S52" s="3" t="n">
        <v>37</v>
      </c>
      <c r="T52" s="3" t="n">
        <v>26</v>
      </c>
      <c r="U52" s="3" t="n">
        <v>1</v>
      </c>
      <c r="V52" s="3" t="n">
        <v>9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2" t="n">
        <f aca="false">SUM(D52:AF52)</f>
        <v>419</v>
      </c>
      <c r="AH52" s="3" t="n">
        <f aca="false">AG52-C52</f>
        <v>0</v>
      </c>
      <c r="AI52" s="2" t="str">
        <f aca="false">IF(AH52=0,"COCOK","CEK SELISIH")</f>
        <v>COCOK</v>
      </c>
    </row>
    <row r="53" customFormat="false" ht="15" hidden="false" customHeight="false" outlineLevel="0" collapsed="false">
      <c r="A53" s="2" t="s">
        <v>197</v>
      </c>
      <c r="B53" s="2" t="s">
        <v>154</v>
      </c>
      <c r="C53" s="2" t="n">
        <v>190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20</v>
      </c>
      <c r="K53" s="3" t="n">
        <v>40</v>
      </c>
      <c r="L53" s="3" t="n">
        <v>0</v>
      </c>
      <c r="M53" s="3" t="n">
        <v>40</v>
      </c>
      <c r="N53" s="3" t="n">
        <v>40</v>
      </c>
      <c r="O53" s="3" t="n">
        <v>0</v>
      </c>
      <c r="P53" s="3" t="n">
        <v>30</v>
      </c>
      <c r="Q53" s="3" t="n">
        <v>20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2" t="n">
        <f aca="false">SUM(D53:AF53)</f>
        <v>190</v>
      </c>
      <c r="AH53" s="3" t="n">
        <f aca="false">AG53-C53</f>
        <v>0</v>
      </c>
      <c r="AI53" s="2" t="str">
        <f aca="false">IF(AH53=0,"COCOK","CEK SELISIH")</f>
        <v>COCOK</v>
      </c>
    </row>
    <row r="54" customFormat="false" ht="15" hidden="false" customHeight="false" outlineLevel="0" collapsed="false">
      <c r="A54" s="2" t="s">
        <v>199</v>
      </c>
      <c r="B54" s="2" t="s">
        <v>154</v>
      </c>
      <c r="C54" s="2" t="n">
        <v>690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23</v>
      </c>
      <c r="K54" s="3" t="n">
        <v>82</v>
      </c>
      <c r="L54" s="3" t="n">
        <v>26</v>
      </c>
      <c r="M54" s="3" t="n">
        <v>101</v>
      </c>
      <c r="N54" s="3" t="n">
        <v>191</v>
      </c>
      <c r="O54" s="3" t="n">
        <v>73</v>
      </c>
      <c r="P54" s="3" t="n">
        <v>48</v>
      </c>
      <c r="Q54" s="3" t="n">
        <v>96</v>
      </c>
      <c r="R54" s="3" t="n">
        <v>24</v>
      </c>
      <c r="S54" s="3" t="n">
        <v>8</v>
      </c>
      <c r="T54" s="3" t="n">
        <v>17</v>
      </c>
      <c r="U54" s="3" t="n">
        <v>1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2" t="n">
        <f aca="false">SUM(D54:AF54)</f>
        <v>690</v>
      </c>
      <c r="AH54" s="3" t="n">
        <f aca="false">AG54-C54</f>
        <v>0</v>
      </c>
      <c r="AI54" s="2" t="str">
        <f aca="false">IF(AH54=0,"COCOK","CEK SELISIH")</f>
        <v>COCOK</v>
      </c>
    </row>
    <row r="55" customFormat="false" ht="15" hidden="false" customHeight="false" outlineLevel="0" collapsed="false">
      <c r="A55" s="2" t="s">
        <v>201</v>
      </c>
      <c r="B55" s="2" t="s">
        <v>154</v>
      </c>
      <c r="C55" s="2" t="n">
        <v>1884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16</v>
      </c>
      <c r="K55" s="3" t="n">
        <v>78</v>
      </c>
      <c r="L55" s="3" t="n">
        <v>104</v>
      </c>
      <c r="M55" s="3" t="n">
        <v>255</v>
      </c>
      <c r="N55" s="3" t="n">
        <v>293</v>
      </c>
      <c r="O55" s="3" t="n">
        <v>291</v>
      </c>
      <c r="P55" s="3" t="n">
        <v>295</v>
      </c>
      <c r="Q55" s="3" t="n">
        <v>189</v>
      </c>
      <c r="R55" s="3" t="n">
        <v>131</v>
      </c>
      <c r="S55" s="3" t="n">
        <v>119</v>
      </c>
      <c r="T55" s="3" t="n">
        <v>46</v>
      </c>
      <c r="U55" s="3" t="n">
        <v>24</v>
      </c>
      <c r="V55" s="3" t="n">
        <v>19</v>
      </c>
      <c r="W55" s="3" t="n">
        <v>14</v>
      </c>
      <c r="X55" s="3" t="n">
        <v>0</v>
      </c>
      <c r="Y55" s="3" t="n">
        <v>10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2" t="n">
        <f aca="false">SUM(D55:AF55)</f>
        <v>1884</v>
      </c>
      <c r="AH55" s="3" t="n">
        <f aca="false">AG55-C55</f>
        <v>0</v>
      </c>
      <c r="AI55" s="2" t="str">
        <f aca="false">IF(AH55=0,"COCOK","CEK SELISIH")</f>
        <v>COCOK</v>
      </c>
    </row>
    <row r="56" customFormat="false" ht="15" hidden="false" customHeight="false" outlineLevel="0" collapsed="false">
      <c r="A56" s="2" t="s">
        <v>203</v>
      </c>
      <c r="B56" s="2" t="s">
        <v>164</v>
      </c>
      <c r="C56" s="2" t="n">
        <v>315</v>
      </c>
      <c r="D56" s="3" t="n">
        <v>1</v>
      </c>
      <c r="E56" s="3" t="n">
        <v>1</v>
      </c>
      <c r="F56" s="3" t="n">
        <v>2</v>
      </c>
      <c r="G56" s="3" t="n">
        <v>2</v>
      </c>
      <c r="H56" s="3" t="n">
        <v>1</v>
      </c>
      <c r="I56" s="3" t="n">
        <v>2</v>
      </c>
      <c r="J56" s="3" t="n">
        <v>4</v>
      </c>
      <c r="K56" s="3" t="n">
        <v>12</v>
      </c>
      <c r="L56" s="3" t="n">
        <v>11</v>
      </c>
      <c r="M56" s="3" t="n">
        <v>22</v>
      </c>
      <c r="N56" s="3" t="n">
        <v>49</v>
      </c>
      <c r="O56" s="3" t="n">
        <v>34</v>
      </c>
      <c r="P56" s="3" t="n">
        <v>42</v>
      </c>
      <c r="Q56" s="3" t="n">
        <v>41</v>
      </c>
      <c r="R56" s="3" t="n">
        <v>25</v>
      </c>
      <c r="S56" s="3" t="n">
        <v>25</v>
      </c>
      <c r="T56" s="3" t="n">
        <v>21</v>
      </c>
      <c r="U56" s="3" t="n">
        <v>4</v>
      </c>
      <c r="V56" s="3" t="n">
        <v>9</v>
      </c>
      <c r="W56" s="3" t="n">
        <v>6</v>
      </c>
      <c r="X56" s="3" t="n">
        <v>0</v>
      </c>
      <c r="Y56" s="3" t="n">
        <v>1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2" t="n">
        <f aca="false">SUM(D56:AF56)</f>
        <v>315</v>
      </c>
      <c r="AH56" s="3" t="n">
        <f aca="false">AG56-C56</f>
        <v>0</v>
      </c>
      <c r="AI56" s="2" t="str">
        <f aca="false">IF(AH56=0,"COCOK","CEK SELISIH")</f>
        <v>COCOK</v>
      </c>
    </row>
    <row r="57" customFormat="false" ht="15" hidden="false" customHeight="false" outlineLevel="0" collapsed="false">
      <c r="A57" s="2" t="s">
        <v>205</v>
      </c>
      <c r="B57" s="2" t="s">
        <v>164</v>
      </c>
      <c r="C57" s="2" t="n">
        <v>9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9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2" t="n">
        <f aca="false">SUM(D57:AF57)</f>
        <v>9</v>
      </c>
      <c r="AH57" s="3" t="n">
        <f aca="false">AG57-C57</f>
        <v>0</v>
      </c>
      <c r="AI57" s="2" t="str">
        <f aca="false">IF(AH57=0,"COCOK","CEK SELISIH")</f>
        <v>COCOK</v>
      </c>
    </row>
    <row r="58" customFormat="false" ht="15" hidden="false" customHeight="false" outlineLevel="0" collapsed="false">
      <c r="A58" s="2" t="s">
        <v>207</v>
      </c>
      <c r="B58" s="2" t="s">
        <v>164</v>
      </c>
      <c r="C58" s="2" t="n">
        <v>2041</v>
      </c>
      <c r="D58" s="3" t="n">
        <v>1</v>
      </c>
      <c r="E58" s="3" t="n">
        <v>12</v>
      </c>
      <c r="F58" s="3" t="n">
        <v>17</v>
      </c>
      <c r="G58" s="3" t="n">
        <v>43</v>
      </c>
      <c r="H58" s="3" t="n">
        <v>75</v>
      </c>
      <c r="I58" s="3" t="n">
        <v>80</v>
      </c>
      <c r="J58" s="3" t="n">
        <v>140</v>
      </c>
      <c r="K58" s="3" t="n">
        <v>109</v>
      </c>
      <c r="L58" s="3" t="n">
        <v>115</v>
      </c>
      <c r="M58" s="3" t="n">
        <v>114</v>
      </c>
      <c r="N58" s="3" t="n">
        <v>154</v>
      </c>
      <c r="O58" s="3" t="n">
        <v>169</v>
      </c>
      <c r="P58" s="3" t="n">
        <v>242</v>
      </c>
      <c r="Q58" s="3" t="n">
        <v>182</v>
      </c>
      <c r="R58" s="3" t="n">
        <v>187</v>
      </c>
      <c r="S58" s="3" t="n">
        <v>147</v>
      </c>
      <c r="T58" s="3" t="n">
        <v>115</v>
      </c>
      <c r="U58" s="3" t="n">
        <v>57</v>
      </c>
      <c r="V58" s="3" t="n">
        <v>50</v>
      </c>
      <c r="W58" s="3" t="n">
        <v>23</v>
      </c>
      <c r="X58" s="3" t="n">
        <v>0</v>
      </c>
      <c r="Y58" s="3" t="n">
        <v>9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2" t="n">
        <f aca="false">SUM(D58:AF58)</f>
        <v>2041</v>
      </c>
      <c r="AH58" s="3" t="n">
        <f aca="false">AG58-C58</f>
        <v>0</v>
      </c>
      <c r="AI58" s="2" t="str">
        <f aca="false">IF(AH58=0,"COCOK","CEK SELISIH")</f>
        <v>COCOK</v>
      </c>
    </row>
    <row r="59" customFormat="false" ht="15" hidden="false" customHeight="false" outlineLevel="0" collapsed="false">
      <c r="A59" s="2" t="s">
        <v>209</v>
      </c>
      <c r="B59" s="2" t="s">
        <v>154</v>
      </c>
      <c r="C59" s="2" t="n">
        <v>418</v>
      </c>
      <c r="D59" s="3" t="n">
        <v>0</v>
      </c>
      <c r="E59" s="3" t="n">
        <v>1</v>
      </c>
      <c r="F59" s="3" t="n">
        <v>0</v>
      </c>
      <c r="G59" s="3" t="n">
        <v>0</v>
      </c>
      <c r="H59" s="3" t="n">
        <v>0</v>
      </c>
      <c r="I59" s="3" t="n">
        <v>1</v>
      </c>
      <c r="J59" s="3" t="n">
        <v>2</v>
      </c>
      <c r="K59" s="3" t="n">
        <v>12</v>
      </c>
      <c r="L59" s="3" t="n">
        <v>19</v>
      </c>
      <c r="M59" s="3" t="n">
        <v>0</v>
      </c>
      <c r="N59" s="3" t="n">
        <v>51</v>
      </c>
      <c r="O59" s="3" t="n">
        <v>53</v>
      </c>
      <c r="P59" s="3" t="n">
        <v>91</v>
      </c>
      <c r="Q59" s="3" t="n">
        <v>60</v>
      </c>
      <c r="R59" s="3" t="n">
        <v>45</v>
      </c>
      <c r="S59" s="3" t="n">
        <v>11</v>
      </c>
      <c r="T59" s="3" t="n">
        <v>35</v>
      </c>
      <c r="U59" s="3" t="n">
        <v>5</v>
      </c>
      <c r="V59" s="3" t="n">
        <v>27</v>
      </c>
      <c r="W59" s="3" t="n">
        <v>4</v>
      </c>
      <c r="X59" s="3" t="n">
        <v>0</v>
      </c>
      <c r="Y59" s="3" t="n">
        <v>1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2" t="n">
        <f aca="false">SUM(D59:AF59)</f>
        <v>418</v>
      </c>
      <c r="AH59" s="3" t="n">
        <f aca="false">AG59-C59</f>
        <v>0</v>
      </c>
      <c r="AI59" s="2" t="str">
        <f aca="false">IF(AH59=0,"COCOK","CEK SELISIH")</f>
        <v>COCOK</v>
      </c>
    </row>
    <row r="60" customFormat="false" ht="15" hidden="false" customHeight="false" outlineLevel="0" collapsed="false">
      <c r="A60" s="2" t="s">
        <v>211</v>
      </c>
      <c r="B60" s="2" t="s">
        <v>154</v>
      </c>
      <c r="C60" s="2" t="n">
        <v>9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2" t="n">
        <f aca="false">SUM(D60:AF60)</f>
        <v>9</v>
      </c>
      <c r="AH60" s="3" t="n">
        <f aca="false">AG60-C60</f>
        <v>0</v>
      </c>
      <c r="AI60" s="2" t="str">
        <f aca="false">IF(AH60=0,"COCOK","CEK SELISIH")</f>
        <v>COCOK</v>
      </c>
    </row>
  </sheetData>
  <conditionalFormatting sqref="AH2:AH60">
    <cfRule type="cellIs" priority="2" operator="notEqual" aboveAverage="0" equalAverage="0" bottom="0" percent="0" rank="0" text="" dxfId="6">
      <formula>0</formula>
    </cfRule>
  </conditionalFormatting>
  <dataValidations count="1">
    <dataValidation allowBlank="false" error="Isi bilangan bulat nol atau lebih." errorStyle="stop" errorTitle="Jumlah tidak valid" operator="greaterThanOrEqual" showDropDown="false" showErrorMessage="true" showInputMessage="false" sqref="D2:AF6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7"/>
  </cols>
  <sheetData>
    <row r="1" customFormat="false" ht="25.5" hidden="false" customHeight="true" outlineLevel="0" collapsed="false">
      <c r="A1" s="7" t="s">
        <v>246</v>
      </c>
      <c r="B1" s="7"/>
      <c r="C1" s="7"/>
      <c r="D1" s="7"/>
      <c r="E1" s="7"/>
      <c r="F1" s="7"/>
      <c r="G1" s="7"/>
      <c r="H1" s="7"/>
    </row>
    <row r="2" customFormat="false" ht="18" hidden="false" customHeight="true" outlineLevel="0" collapsed="false">
      <c r="A2" s="8" t="str">
        <f aca="false">'01 ADMIN_ORDER'!R2</f>
        <v>DRAFT - PERLU VERIFIKASI</v>
      </c>
      <c r="B2" s="8"/>
      <c r="C2" s="8"/>
      <c r="D2" s="8"/>
      <c r="E2" s="8"/>
      <c r="F2" s="8"/>
      <c r="G2" s="8"/>
      <c r="H2" s="8"/>
    </row>
    <row r="3" customFormat="false" ht="18" hidden="false" customHeight="true" outlineLevel="0" collapsed="false">
      <c r="A3" s="9" t="s">
        <v>247</v>
      </c>
      <c r="B3" s="9"/>
      <c r="C3" s="9"/>
      <c r="D3" s="9"/>
      <c r="E3" s="9"/>
      <c r="F3" s="9"/>
      <c r="G3" s="9"/>
      <c r="H3" s="9"/>
    </row>
    <row r="4" customFormat="false" ht="18" hidden="false" customHeight="true" outlineLevel="0" collapsed="false">
      <c r="A4" s="10" t="s">
        <v>248</v>
      </c>
      <c r="B4" s="10"/>
      <c r="C4" s="11" t="str">
        <f aca="false">'01 ADMIN_ORDER'!A2</f>
        <v>137/10/1 (59)</v>
      </c>
      <c r="D4" s="11"/>
      <c r="E4" s="11"/>
      <c r="F4" s="11"/>
      <c r="G4" s="11"/>
      <c r="H4" s="11"/>
    </row>
    <row r="5" customFormat="false" ht="18" hidden="false" customHeight="true" outlineLevel="0" collapsed="false">
      <c r="A5" s="10" t="s">
        <v>249</v>
      </c>
      <c r="B5" s="10"/>
      <c r="C5" s="12" t="str">
        <f aca="false">'01 ADMIN_ORDER'!C2&amp;" / "&amp;'01 ADMIN_ORDER'!D2</f>
        <v>FRONTCOURT LOW / LA6616</v>
      </c>
      <c r="D5" s="12"/>
      <c r="E5" s="12"/>
      <c r="F5" s="12"/>
      <c r="G5" s="12"/>
      <c r="H5" s="12"/>
    </row>
    <row r="6" customFormat="false" ht="18" hidden="false" customHeight="true" outlineLevel="0" collapsed="false">
      <c r="A6" s="10" t="s">
        <v>250</v>
      </c>
      <c r="B6" s="10"/>
      <c r="C6" s="12" t="str">
        <f aca="false">'01 ADMIN_ORDER'!E2</f>
        <v>903285985</v>
      </c>
      <c r="D6" s="12"/>
      <c r="E6" s="12"/>
      <c r="F6" s="12"/>
      <c r="G6" s="12"/>
      <c r="H6" s="12"/>
    </row>
    <row r="7" customFormat="false" ht="27.75" hidden="false" customHeight="true" outlineLevel="0" collapsed="false">
      <c r="A7" s="10" t="s">
        <v>251</v>
      </c>
      <c r="B7" s="10"/>
      <c r="C7" s="12" t="str">
        <f aca="false">'01 ADMIN_ORDER'!H2</f>
        <v>EARTH STRATA/OFF WHITE/DARK BROWN</v>
      </c>
      <c r="D7" s="12"/>
      <c r="E7" s="12"/>
      <c r="F7" s="12"/>
      <c r="G7" s="12"/>
      <c r="H7" s="12"/>
    </row>
    <row r="8" customFormat="false" ht="18" hidden="false" customHeight="true" outlineLevel="0" collapsed="false">
      <c r="A8" s="10" t="s">
        <v>252</v>
      </c>
      <c r="B8" s="10"/>
      <c r="C8" s="12" t="str">
        <f aca="false">'01 ADMIN_ORDER'!B2&amp;" / "&amp;'01 ADMIN_ORDER'!G2</f>
        <v>A-19 / Morocco</v>
      </c>
      <c r="D8" s="12"/>
      <c r="E8" s="12"/>
      <c r="F8" s="12"/>
      <c r="G8" s="12"/>
      <c r="H8" s="12"/>
    </row>
    <row r="9" customFormat="false" ht="18" hidden="false" customHeight="true" outlineLevel="0" collapsed="false">
      <c r="A9" s="10" t="s">
        <v>253</v>
      </c>
      <c r="B9" s="10"/>
      <c r="C9" s="13" t="str">
        <f aca="false">'01 ADMIN_ORDER'!I2&amp;" / "&amp;IF('04 KESIAPAN'!B2="","UOM BELUM DIISI",'04 KESIAPAN'!B2)</f>
        <v>155 / UOM BELUM DIISI</v>
      </c>
      <c r="D9" s="13"/>
      <c r="E9" s="13"/>
      <c r="F9" s="13"/>
      <c r="G9" s="13"/>
      <c r="H9" s="13"/>
    </row>
    <row r="10" customFormat="false" ht="18" hidden="false" customHeight="true" outlineLevel="0" collapsed="false">
      <c r="A10" s="13" t="str">
        <f aca="false">IF('04 KESIAPAN'!C2="","SISTEM UKURAN BELUM DIISI",'04 KESIAPAN'!C2)&amp;" | Tanda -: "&amp;IF('04 KESIAPAN'!D2="","BELUM DIKONFIRMASI",'04 KESIAPAN'!D2)</f>
        <v>SISTEM UKURAN BELUM DIISI | Tanda -: BELUM DIKONFIRMASI</v>
      </c>
      <c r="B10" s="13"/>
      <c r="C10" s="13"/>
      <c r="D10" s="13"/>
      <c r="E10" s="13"/>
      <c r="F10" s="13"/>
      <c r="G10" s="13"/>
      <c r="H10" s="13"/>
    </row>
    <row r="11" customFormat="false" ht="18" hidden="false" customHeight="true" outlineLevel="0" collapsed="false">
      <c r="A11" s="7" t="s">
        <v>254</v>
      </c>
      <c r="B11" s="7"/>
      <c r="C11" s="7"/>
      <c r="D11" s="7"/>
      <c r="E11" s="7"/>
      <c r="F11" s="7"/>
      <c r="G11" s="7"/>
      <c r="H11" s="7"/>
    </row>
    <row r="12" customFormat="false" ht="18" hidden="false" customHeight="true" outlineLevel="0" collapsed="false">
      <c r="A12" s="14" t="s">
        <v>214</v>
      </c>
      <c r="B12" s="0" t="n">
        <f aca="false">'02 SIZE_RUN'!D2</f>
        <v>0</v>
      </c>
      <c r="C12" s="14" t="s">
        <v>215</v>
      </c>
      <c r="D12" s="0" t="n">
        <f aca="false">'02 SIZE_RUN'!E2</f>
        <v>0</v>
      </c>
      <c r="E12" s="14" t="s">
        <v>216</v>
      </c>
      <c r="F12" s="0" t="n">
        <f aca="false">'02 SIZE_RUN'!F2</f>
        <v>0</v>
      </c>
      <c r="G12" s="14" t="s">
        <v>217</v>
      </c>
      <c r="H12" s="0" t="n">
        <f aca="false">'02 SIZE_RUN'!G2</f>
        <v>0</v>
      </c>
    </row>
    <row r="13" customFormat="false" ht="18" hidden="false" customHeight="true" outlineLevel="0" collapsed="false">
      <c r="A13" s="14" t="s">
        <v>218</v>
      </c>
      <c r="B13" s="0" t="n">
        <f aca="false">'02 SIZE_RUN'!H2</f>
        <v>0</v>
      </c>
      <c r="C13" s="14" t="s">
        <v>219</v>
      </c>
      <c r="D13" s="0" t="n">
        <f aca="false">'02 SIZE_RUN'!I2</f>
        <v>0</v>
      </c>
      <c r="E13" s="14" t="s">
        <v>220</v>
      </c>
      <c r="F13" s="0" t="n">
        <f aca="false">'02 SIZE_RUN'!J2</f>
        <v>0</v>
      </c>
      <c r="G13" s="14" t="s">
        <v>221</v>
      </c>
      <c r="H13" s="0" t="n">
        <f aca="false">'02 SIZE_RUN'!K2</f>
        <v>0</v>
      </c>
    </row>
    <row r="14" customFormat="false" ht="18" hidden="false" customHeight="true" outlineLevel="0" collapsed="false">
      <c r="A14" s="14" t="s">
        <v>222</v>
      </c>
      <c r="B14" s="0" t="n">
        <f aca="false">'02 SIZE_RUN'!L2</f>
        <v>10</v>
      </c>
      <c r="C14" s="14" t="s">
        <v>223</v>
      </c>
      <c r="D14" s="0" t="n">
        <f aca="false">'02 SIZE_RUN'!M2</f>
        <v>10</v>
      </c>
      <c r="E14" s="14" t="s">
        <v>224</v>
      </c>
      <c r="F14" s="0" t="n">
        <f aca="false">'02 SIZE_RUN'!N2</f>
        <v>25</v>
      </c>
      <c r="G14" s="14" t="s">
        <v>225</v>
      </c>
      <c r="H14" s="0" t="n">
        <f aca="false">'02 SIZE_RUN'!O2</f>
        <v>25</v>
      </c>
    </row>
    <row r="15" customFormat="false" ht="18" hidden="false" customHeight="true" outlineLevel="0" collapsed="false">
      <c r="A15" s="14" t="s">
        <v>226</v>
      </c>
      <c r="B15" s="0" t="n">
        <f aca="false">'02 SIZE_RUN'!P2</f>
        <v>35</v>
      </c>
      <c r="C15" s="14" t="s">
        <v>227</v>
      </c>
      <c r="D15" s="0" t="n">
        <f aca="false">'02 SIZE_RUN'!Q2</f>
        <v>20</v>
      </c>
      <c r="E15" s="14" t="s">
        <v>228</v>
      </c>
      <c r="F15" s="0" t="n">
        <f aca="false">'02 SIZE_RUN'!R2</f>
        <v>10</v>
      </c>
      <c r="G15" s="14" t="s">
        <v>229</v>
      </c>
      <c r="H15" s="0" t="n">
        <f aca="false">'02 SIZE_RUN'!S2</f>
        <v>10</v>
      </c>
    </row>
    <row r="16" customFormat="false" ht="18" hidden="false" customHeight="true" outlineLevel="0" collapsed="false">
      <c r="A16" s="14" t="s">
        <v>230</v>
      </c>
      <c r="B16" s="0" t="n">
        <f aca="false">'02 SIZE_RUN'!T2</f>
        <v>5</v>
      </c>
      <c r="C16" s="14" t="s">
        <v>231</v>
      </c>
      <c r="D16" s="0" t="n">
        <f aca="false">'02 SIZE_RUN'!U2</f>
        <v>0</v>
      </c>
      <c r="E16" s="14" t="s">
        <v>232</v>
      </c>
      <c r="F16" s="0" t="n">
        <f aca="false">'02 SIZE_RUN'!V2</f>
        <v>5</v>
      </c>
      <c r="G16" s="14" t="s">
        <v>233</v>
      </c>
      <c r="H16" s="0" t="n">
        <f aca="false">'02 SIZE_RUN'!W2</f>
        <v>0</v>
      </c>
    </row>
    <row r="17" customFormat="false" ht="18" hidden="false" customHeight="true" outlineLevel="0" collapsed="false">
      <c r="A17" s="14" t="s">
        <v>234</v>
      </c>
      <c r="B17" s="0" t="n">
        <f aca="false">'02 SIZE_RUN'!X2</f>
        <v>0</v>
      </c>
      <c r="C17" s="14" t="s">
        <v>235</v>
      </c>
      <c r="D17" s="0" t="n">
        <f aca="false">'02 SIZE_RUN'!Y2</f>
        <v>0</v>
      </c>
      <c r="E17" s="14" t="s">
        <v>236</v>
      </c>
      <c r="F17" s="0" t="n">
        <f aca="false">'02 SIZE_RUN'!Z2</f>
        <v>0</v>
      </c>
      <c r="G17" s="14" t="s">
        <v>237</v>
      </c>
      <c r="H17" s="0" t="n">
        <f aca="false">'02 SIZE_RUN'!AA2</f>
        <v>0</v>
      </c>
    </row>
    <row r="18" customFormat="false" ht="18" hidden="false" customHeight="true" outlineLevel="0" collapsed="false">
      <c r="A18" s="14" t="s">
        <v>238</v>
      </c>
      <c r="B18" s="0" t="n">
        <f aca="false">'02 SIZE_RUN'!AB2</f>
        <v>0</v>
      </c>
      <c r="C18" s="14" t="s">
        <v>239</v>
      </c>
      <c r="D18" s="0" t="n">
        <f aca="false">'02 SIZE_RUN'!AC2</f>
        <v>0</v>
      </c>
      <c r="E18" s="14" t="s">
        <v>240</v>
      </c>
      <c r="F18" s="0" t="n">
        <f aca="false">'02 SIZE_RUN'!AD2</f>
        <v>0</v>
      </c>
      <c r="G18" s="14" t="s">
        <v>241</v>
      </c>
      <c r="H18" s="0" t="n">
        <f aca="false">'02 SIZE_RUN'!AE2</f>
        <v>0</v>
      </c>
    </row>
    <row r="19" customFormat="false" ht="18" hidden="false" customHeight="true" outlineLevel="0" collapsed="false">
      <c r="A19" s="14" t="s">
        <v>242</v>
      </c>
      <c r="B19" s="0" t="n">
        <f aca="false">'02 SIZE_RUN'!AF2</f>
        <v>0</v>
      </c>
    </row>
    <row r="20" customFormat="false" ht="18" hidden="false" customHeight="true" outlineLevel="0" collapsed="false">
      <c r="A20" s="10" t="str">
        <f aca="false">"TOTAL SIZE: "&amp;'02 SIZE_RUN'!AG2&amp;" | SELISIH: "&amp;'02 SIZE_RUN'!AH2</f>
        <v>TOTAL SIZE: 155 | SELISIH: 0</v>
      </c>
      <c r="B20" s="10"/>
      <c r="C20" s="10"/>
      <c r="D20" s="10"/>
      <c r="E20" s="10"/>
      <c r="F20" s="10"/>
      <c r="G20" s="10"/>
      <c r="H20" s="10"/>
    </row>
    <row r="21" customFormat="false" ht="18" hidden="false" customHeight="true" outlineLevel="0" collapsed="false">
      <c r="A21" s="10" t="s">
        <v>255</v>
      </c>
      <c r="B21" s="10"/>
      <c r="C21" s="10"/>
      <c r="D21" s="13" t="str">
        <f aca="false">IF('01 ADMIN_ORDER'!P2="","BELUM DITETAPKAN",TEXT('01 ADMIN_ORDER'!P2,"dd mmm yyyy"))</f>
        <v>BELUM DITETAPKAN</v>
      </c>
      <c r="E21" s="13"/>
      <c r="F21" s="13"/>
      <c r="G21" s="13"/>
      <c r="H21" s="13"/>
    </row>
    <row r="22" customFormat="false" ht="18" hidden="false" customHeight="true" outlineLevel="0" collapsed="false">
      <c r="A22" s="10" t="s">
        <v>256</v>
      </c>
      <c r="B22" s="10"/>
      <c r="C22" s="10"/>
      <c r="D22" s="13" t="str">
        <f aca="false">IF('01 ADMIN_ORDER'!Q2="","BELUM DITETAPKAN",TEXT('01 ADMIN_ORDER'!Q2,"dd mmm yyyy"))</f>
        <v>BELUM DITETAPKAN</v>
      </c>
      <c r="E22" s="13"/>
      <c r="F22" s="13"/>
      <c r="G22" s="13"/>
      <c r="H22" s="13"/>
    </row>
    <row r="23" customFormat="false" ht="25.5" hidden="false" customHeight="true" outlineLevel="0" collapsed="false">
      <c r="A23" s="12" t="str">
        <f aca="false">"REFERENSI ASSEMBLY (bukan target upper): "&amp;TEXT('01 ADMIN_ORDER'!M2,"dd mmm yyyy")&amp;" - "&amp;TEXT('01 ADMIN_ORDER'!N2,"dd mmm yyyy")</f>
        <v>REFERENSI ASSEMBLY (bukan target upper): 25 Sep 2026 - 25 Sep 2026</v>
      </c>
      <c r="B23" s="12"/>
      <c r="C23" s="12"/>
      <c r="D23" s="12"/>
      <c r="E23" s="12"/>
      <c r="F23" s="12"/>
      <c r="G23" s="12"/>
      <c r="H23" s="12"/>
    </row>
    <row r="24" customFormat="false" ht="18" hidden="false" customHeight="true" outlineLevel="0" collapsed="false">
      <c r="A24" s="10" t="s">
        <v>257</v>
      </c>
      <c r="B24" s="10"/>
      <c r="C24" s="10"/>
      <c r="D24" s="13" t="str">
        <f aca="false">IF('04 KESIAPAN'!G2="","BELUM DIISI",'04 KESIAPAN'!G2)</f>
        <v>BELUM DIISI</v>
      </c>
      <c r="E24" s="13"/>
      <c r="F24" s="13"/>
      <c r="G24" s="13"/>
      <c r="H24" s="13"/>
    </row>
    <row r="25" customFormat="false" ht="18" hidden="false" customHeight="true" outlineLevel="0" collapsed="false">
      <c r="A25" s="10" t="s">
        <v>258</v>
      </c>
      <c r="B25" s="10"/>
      <c r="C25" s="10"/>
      <c r="D25" s="13" t="str">
        <f aca="false">IF('04 KESIAPAN'!H2="","BELUM DIISI",'04 KESIAPAN'!H2)</f>
        <v>BELUM DIISI</v>
      </c>
      <c r="E25" s="13"/>
      <c r="F25" s="13"/>
      <c r="G25" s="13"/>
      <c r="H25" s="13"/>
    </row>
    <row r="26" customFormat="false" ht="18" hidden="false" customHeight="true" outlineLevel="0" collapsed="false">
      <c r="A26" s="10" t="s">
        <v>259</v>
      </c>
      <c r="B26" s="10"/>
      <c r="C26" s="10"/>
      <c r="D26" s="13" t="str">
        <f aca="false">IF('04 KESIAPAN'!I2="","BELUM DIISI",'04 KESIAPAN'!I2)</f>
        <v>BELUM DIISI</v>
      </c>
      <c r="E26" s="13"/>
      <c r="F26" s="13"/>
      <c r="G26" s="13"/>
      <c r="H26" s="13"/>
    </row>
    <row r="27" customFormat="false" ht="18" hidden="false" customHeight="true" outlineLevel="0" collapsed="false">
      <c r="A27" s="10" t="s">
        <v>260</v>
      </c>
      <c r="B27" s="10"/>
      <c r="C27" s="10"/>
      <c r="D27" s="13" t="str">
        <f aca="false">IF('04 KESIAPAN'!K2="","BELUM DIISI",'04 KESIAPAN'!K2)</f>
        <v>BELUM DIISI</v>
      </c>
      <c r="E27" s="13"/>
      <c r="F27" s="13"/>
      <c r="G27" s="13"/>
      <c r="H27" s="13"/>
    </row>
    <row r="28" customFormat="false" ht="18" hidden="false" customHeight="true" outlineLevel="0" collapsed="false">
      <c r="A28" s="10" t="s">
        <v>261</v>
      </c>
      <c r="B28" s="10"/>
      <c r="C28" s="10"/>
      <c r="D28" s="13" t="str">
        <f aca="false">IF('04 KESIAPAN'!L2="","BELUM DIISI",'04 KESIAPAN'!L2)</f>
        <v>BELUM DIISI</v>
      </c>
      <c r="E28" s="13"/>
      <c r="F28" s="13"/>
      <c r="G28" s="13"/>
      <c r="H28" s="13"/>
    </row>
    <row r="29" customFormat="false" ht="18" hidden="false" customHeight="true" outlineLevel="0" collapsed="false">
      <c r="A29" s="10" t="s">
        <v>262</v>
      </c>
      <c r="B29" s="10"/>
      <c r="C29" s="10"/>
      <c r="D29" s="13" t="str">
        <f aca="false">IF('04 KESIAPAN'!N2="","BELUM DIISI",'04 KESIAPAN'!N2)</f>
        <v>BELUM DIISI</v>
      </c>
      <c r="E29" s="13"/>
      <c r="F29" s="13"/>
      <c r="G29" s="13"/>
      <c r="H29" s="13"/>
    </row>
    <row r="30" customFormat="false" ht="18" hidden="false" customHeight="true" outlineLevel="0" collapsed="false">
      <c r="A30" s="10" t="s">
        <v>263</v>
      </c>
      <c r="B30" s="10"/>
      <c r="C30" s="10"/>
      <c r="D30" s="13" t="str">
        <f aca="false">IF('04 KESIAPAN'!P2="","BELUM DIISI",'04 KESIAPAN'!P2)</f>
        <v>BELUM DIISI</v>
      </c>
      <c r="E30" s="13"/>
      <c r="F30" s="13"/>
      <c r="G30" s="13"/>
      <c r="H30" s="13"/>
    </row>
    <row r="31" customFormat="false" ht="18" hidden="false" customHeight="true" outlineLevel="0" collapsed="false">
      <c r="A31" s="7" t="s">
        <v>264</v>
      </c>
      <c r="B31" s="7"/>
      <c r="C31" s="7"/>
      <c r="D31" s="7"/>
      <c r="E31" s="7"/>
      <c r="F31" s="7"/>
      <c r="G31" s="7"/>
      <c r="H31" s="7"/>
    </row>
    <row r="32" customFormat="false" ht="18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</row>
    <row r="33" customFormat="false" ht="18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</row>
    <row r="34" customFormat="false" ht="18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</row>
    <row r="35" customFormat="false" ht="18" hidden="false" customHeight="true" outlineLevel="0" collapsed="false">
      <c r="A35" s="12" t="s">
        <v>265</v>
      </c>
      <c r="B35" s="12"/>
      <c r="C35" s="12"/>
      <c r="D35" s="12"/>
      <c r="E35" s="12" t="s">
        <v>266</v>
      </c>
      <c r="F35" s="12"/>
      <c r="G35" s="12"/>
      <c r="H35" s="12"/>
    </row>
    <row r="36" customFormat="false" ht="18" hidden="false" customHeight="true" outlineLevel="0" collapsed="false">
      <c r="A36" s="12" t="s">
        <v>267</v>
      </c>
      <c r="B36" s="12"/>
      <c r="C36" s="12"/>
      <c r="D36" s="12"/>
      <c r="E36" s="12"/>
      <c r="F36" s="12"/>
      <c r="G36" s="12"/>
      <c r="H36" s="12"/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25.5" hidden="false" customHeight="true" outlineLevel="0" collapsed="false">
      <c r="A39" s="7" t="s">
        <v>246</v>
      </c>
      <c r="B39" s="7"/>
      <c r="C39" s="7"/>
      <c r="D39" s="7"/>
      <c r="E39" s="7"/>
      <c r="F39" s="7"/>
      <c r="G39" s="7"/>
      <c r="H39" s="7"/>
    </row>
    <row r="40" customFormat="false" ht="18" hidden="false" customHeight="true" outlineLevel="0" collapsed="false">
      <c r="A40" s="8" t="str">
        <f aca="false">'01 ADMIN_ORDER'!R3</f>
        <v>DRAFT - PERLU VERIFIKASI</v>
      </c>
      <c r="B40" s="8"/>
      <c r="C40" s="8"/>
      <c r="D40" s="8"/>
      <c r="E40" s="8"/>
      <c r="F40" s="8"/>
      <c r="G40" s="8"/>
      <c r="H40" s="8"/>
    </row>
    <row r="41" customFormat="false" ht="18" hidden="false" customHeight="true" outlineLevel="0" collapsed="false">
      <c r="A41" s="9" t="s">
        <v>247</v>
      </c>
      <c r="B41" s="9"/>
      <c r="C41" s="9"/>
      <c r="D41" s="9"/>
      <c r="E41" s="9"/>
      <c r="F41" s="9"/>
      <c r="G41" s="9"/>
      <c r="H41" s="9"/>
    </row>
    <row r="42" customFormat="false" ht="18" hidden="false" customHeight="true" outlineLevel="0" collapsed="false">
      <c r="A42" s="10" t="s">
        <v>248</v>
      </c>
      <c r="B42" s="10"/>
      <c r="C42" s="11" t="str">
        <f aca="false">'01 ADMIN_ORDER'!A3</f>
        <v>138/10/2 (59)</v>
      </c>
      <c r="D42" s="11"/>
      <c r="E42" s="11"/>
      <c r="F42" s="11"/>
      <c r="G42" s="11"/>
      <c r="H42" s="11"/>
    </row>
    <row r="43" customFormat="false" ht="18" hidden="false" customHeight="true" outlineLevel="0" collapsed="false">
      <c r="A43" s="10" t="s">
        <v>249</v>
      </c>
      <c r="B43" s="10"/>
      <c r="C43" s="12" t="str">
        <f aca="false">'01 ADMIN_ORDER'!C3&amp;" / "&amp;'01 ADMIN_ORDER'!D3</f>
        <v>FRONTCOURT LOW / LA6616</v>
      </c>
      <c r="D43" s="12"/>
      <c r="E43" s="12"/>
      <c r="F43" s="12"/>
      <c r="G43" s="12"/>
      <c r="H43" s="12"/>
    </row>
    <row r="44" customFormat="false" ht="18" hidden="false" customHeight="true" outlineLevel="0" collapsed="false">
      <c r="A44" s="10" t="s">
        <v>250</v>
      </c>
      <c r="B44" s="10"/>
      <c r="C44" s="12" t="str">
        <f aca="false">'01 ADMIN_ORDER'!E3</f>
        <v>903285985 (FGT)</v>
      </c>
      <c r="D44" s="12"/>
      <c r="E44" s="12"/>
      <c r="F44" s="12"/>
      <c r="G44" s="12"/>
      <c r="H44" s="12"/>
    </row>
    <row r="45" customFormat="false" ht="27.75" hidden="false" customHeight="true" outlineLevel="0" collapsed="false">
      <c r="A45" s="10" t="s">
        <v>251</v>
      </c>
      <c r="B45" s="10"/>
      <c r="C45" s="12" t="str">
        <f aca="false">'01 ADMIN_ORDER'!H3</f>
        <v>EARTH STRATA/OFF WHITE/DARK BROWN</v>
      </c>
      <c r="D45" s="12"/>
      <c r="E45" s="12"/>
      <c r="F45" s="12"/>
      <c r="G45" s="12"/>
      <c r="H45" s="12"/>
    </row>
    <row r="46" customFormat="false" ht="18" hidden="false" customHeight="true" outlineLevel="0" collapsed="false">
      <c r="A46" s="10" t="s">
        <v>252</v>
      </c>
      <c r="B46" s="10"/>
      <c r="C46" s="12" t="str">
        <f aca="false">'01 ADMIN_ORDER'!B3&amp;" / "&amp;'01 ADMIN_ORDER'!G3</f>
        <v>A-19 / Morocco</v>
      </c>
      <c r="D46" s="12"/>
      <c r="E46" s="12"/>
      <c r="F46" s="12"/>
      <c r="G46" s="12"/>
      <c r="H46" s="12"/>
    </row>
    <row r="47" customFormat="false" ht="18" hidden="false" customHeight="true" outlineLevel="0" collapsed="false">
      <c r="A47" s="10" t="s">
        <v>253</v>
      </c>
      <c r="B47" s="10"/>
      <c r="C47" s="13" t="str">
        <f aca="false">'01 ADMIN_ORDER'!I3&amp;" / "&amp;IF('04 KESIAPAN'!B3="","UOM BELUM DIISI",'04 KESIAPAN'!B3)</f>
        <v>9 / UOM BELUM DIISI</v>
      </c>
      <c r="D47" s="13"/>
      <c r="E47" s="13"/>
      <c r="F47" s="13"/>
      <c r="G47" s="13"/>
      <c r="H47" s="13"/>
    </row>
    <row r="48" customFormat="false" ht="18" hidden="false" customHeight="true" outlineLevel="0" collapsed="false">
      <c r="A48" s="13" t="str">
        <f aca="false">IF('04 KESIAPAN'!C3="","SISTEM UKURAN BELUM DIISI",'04 KESIAPAN'!C3)&amp;" | Tanda -: "&amp;IF('04 KESIAPAN'!D3="","BELUM DIKONFIRMASI",'04 KESIAPAN'!D3)</f>
        <v>SISTEM UKURAN BELUM DIISI | Tanda -: BELUM DIKONFIRMASI</v>
      </c>
      <c r="B48" s="13"/>
      <c r="C48" s="13"/>
      <c r="D48" s="13"/>
      <c r="E48" s="13"/>
      <c r="F48" s="13"/>
      <c r="G48" s="13"/>
      <c r="H48" s="13"/>
    </row>
    <row r="49" customFormat="false" ht="18" hidden="false" customHeight="true" outlineLevel="0" collapsed="false">
      <c r="A49" s="7" t="s">
        <v>254</v>
      </c>
      <c r="B49" s="7"/>
      <c r="C49" s="7"/>
      <c r="D49" s="7"/>
      <c r="E49" s="7"/>
      <c r="F49" s="7"/>
      <c r="G49" s="7"/>
      <c r="H49" s="7"/>
    </row>
    <row r="50" customFormat="false" ht="18" hidden="false" customHeight="true" outlineLevel="0" collapsed="false">
      <c r="A50" s="14" t="s">
        <v>214</v>
      </c>
      <c r="B50" s="0" t="n">
        <f aca="false">'02 SIZE_RUN'!D3</f>
        <v>0</v>
      </c>
      <c r="C50" s="14" t="s">
        <v>215</v>
      </c>
      <c r="D50" s="0" t="n">
        <f aca="false">'02 SIZE_RUN'!E3</f>
        <v>0</v>
      </c>
      <c r="E50" s="14" t="s">
        <v>216</v>
      </c>
      <c r="F50" s="0" t="n">
        <f aca="false">'02 SIZE_RUN'!F3</f>
        <v>0</v>
      </c>
      <c r="G50" s="14" t="s">
        <v>217</v>
      </c>
      <c r="H50" s="0" t="n">
        <f aca="false">'02 SIZE_RUN'!G3</f>
        <v>0</v>
      </c>
    </row>
    <row r="51" customFormat="false" ht="18" hidden="false" customHeight="true" outlineLevel="0" collapsed="false">
      <c r="A51" s="14" t="s">
        <v>218</v>
      </c>
      <c r="B51" s="0" t="n">
        <f aca="false">'02 SIZE_RUN'!H3</f>
        <v>0</v>
      </c>
      <c r="C51" s="14" t="s">
        <v>219</v>
      </c>
      <c r="D51" s="0" t="n">
        <f aca="false">'02 SIZE_RUN'!I3</f>
        <v>0</v>
      </c>
      <c r="E51" s="14" t="s">
        <v>220</v>
      </c>
      <c r="F51" s="0" t="n">
        <f aca="false">'02 SIZE_RUN'!J3</f>
        <v>0</v>
      </c>
      <c r="G51" s="14" t="s">
        <v>221</v>
      </c>
      <c r="H51" s="0" t="n">
        <f aca="false">'02 SIZE_RUN'!K3</f>
        <v>0</v>
      </c>
    </row>
    <row r="52" customFormat="false" ht="18" hidden="false" customHeight="true" outlineLevel="0" collapsed="false">
      <c r="A52" s="14" t="s">
        <v>222</v>
      </c>
      <c r="B52" s="0" t="n">
        <f aca="false">'02 SIZE_RUN'!L3</f>
        <v>0</v>
      </c>
      <c r="C52" s="14" t="s">
        <v>223</v>
      </c>
      <c r="D52" s="0" t="n">
        <f aca="false">'02 SIZE_RUN'!M3</f>
        <v>0</v>
      </c>
      <c r="E52" s="14" t="s">
        <v>224</v>
      </c>
      <c r="F52" s="0" t="n">
        <f aca="false">'02 SIZE_RUN'!N3</f>
        <v>0</v>
      </c>
      <c r="G52" s="14" t="s">
        <v>225</v>
      </c>
      <c r="H52" s="0" t="n">
        <f aca="false">'02 SIZE_RUN'!O3</f>
        <v>9</v>
      </c>
    </row>
    <row r="53" customFormat="false" ht="18" hidden="false" customHeight="true" outlineLevel="0" collapsed="false">
      <c r="A53" s="14" t="s">
        <v>226</v>
      </c>
      <c r="B53" s="0" t="n">
        <f aca="false">'02 SIZE_RUN'!P3</f>
        <v>0</v>
      </c>
      <c r="C53" s="14" t="s">
        <v>227</v>
      </c>
      <c r="D53" s="0" t="n">
        <f aca="false">'02 SIZE_RUN'!Q3</f>
        <v>0</v>
      </c>
      <c r="E53" s="14" t="s">
        <v>228</v>
      </c>
      <c r="F53" s="0" t="n">
        <f aca="false">'02 SIZE_RUN'!R3</f>
        <v>0</v>
      </c>
      <c r="G53" s="14" t="s">
        <v>229</v>
      </c>
      <c r="H53" s="0" t="n">
        <f aca="false">'02 SIZE_RUN'!S3</f>
        <v>0</v>
      </c>
    </row>
    <row r="54" customFormat="false" ht="18" hidden="false" customHeight="true" outlineLevel="0" collapsed="false">
      <c r="A54" s="14" t="s">
        <v>230</v>
      </c>
      <c r="B54" s="0" t="n">
        <f aca="false">'02 SIZE_RUN'!T3</f>
        <v>0</v>
      </c>
      <c r="C54" s="14" t="s">
        <v>231</v>
      </c>
      <c r="D54" s="0" t="n">
        <f aca="false">'02 SIZE_RUN'!U3</f>
        <v>0</v>
      </c>
      <c r="E54" s="14" t="s">
        <v>232</v>
      </c>
      <c r="F54" s="0" t="n">
        <f aca="false">'02 SIZE_RUN'!V3</f>
        <v>0</v>
      </c>
      <c r="G54" s="14" t="s">
        <v>233</v>
      </c>
      <c r="H54" s="0" t="n">
        <f aca="false">'02 SIZE_RUN'!W3</f>
        <v>0</v>
      </c>
    </row>
    <row r="55" customFormat="false" ht="18" hidden="false" customHeight="true" outlineLevel="0" collapsed="false">
      <c r="A55" s="14" t="s">
        <v>234</v>
      </c>
      <c r="B55" s="0" t="n">
        <f aca="false">'02 SIZE_RUN'!X3</f>
        <v>0</v>
      </c>
      <c r="C55" s="14" t="s">
        <v>235</v>
      </c>
      <c r="D55" s="0" t="n">
        <f aca="false">'02 SIZE_RUN'!Y3</f>
        <v>0</v>
      </c>
      <c r="E55" s="14" t="s">
        <v>236</v>
      </c>
      <c r="F55" s="0" t="n">
        <f aca="false">'02 SIZE_RUN'!Z3</f>
        <v>0</v>
      </c>
      <c r="G55" s="14" t="s">
        <v>237</v>
      </c>
      <c r="H55" s="0" t="n">
        <f aca="false">'02 SIZE_RUN'!AA3</f>
        <v>0</v>
      </c>
    </row>
    <row r="56" customFormat="false" ht="18" hidden="false" customHeight="true" outlineLevel="0" collapsed="false">
      <c r="A56" s="14" t="s">
        <v>238</v>
      </c>
      <c r="B56" s="0" t="n">
        <f aca="false">'02 SIZE_RUN'!AB3</f>
        <v>0</v>
      </c>
      <c r="C56" s="14" t="s">
        <v>239</v>
      </c>
      <c r="D56" s="0" t="n">
        <f aca="false">'02 SIZE_RUN'!AC3</f>
        <v>0</v>
      </c>
      <c r="E56" s="14" t="s">
        <v>240</v>
      </c>
      <c r="F56" s="0" t="n">
        <f aca="false">'02 SIZE_RUN'!AD3</f>
        <v>0</v>
      </c>
      <c r="G56" s="14" t="s">
        <v>241</v>
      </c>
      <c r="H56" s="0" t="n">
        <f aca="false">'02 SIZE_RUN'!AE3</f>
        <v>0</v>
      </c>
    </row>
    <row r="57" customFormat="false" ht="18" hidden="false" customHeight="true" outlineLevel="0" collapsed="false">
      <c r="A57" s="14" t="s">
        <v>242</v>
      </c>
      <c r="B57" s="0" t="n">
        <f aca="false">'02 SIZE_RUN'!AF3</f>
        <v>0</v>
      </c>
    </row>
    <row r="58" customFormat="false" ht="18" hidden="false" customHeight="true" outlineLevel="0" collapsed="false">
      <c r="A58" s="10" t="str">
        <f aca="false">"TOTAL SIZE: "&amp;'02 SIZE_RUN'!AG3&amp;" | SELISIH: "&amp;'02 SIZE_RUN'!AH3</f>
        <v>TOTAL SIZE: 9 | SELISIH: 0</v>
      </c>
      <c r="B58" s="10"/>
      <c r="C58" s="10"/>
      <c r="D58" s="10"/>
      <c r="E58" s="10"/>
      <c r="F58" s="10"/>
      <c r="G58" s="10"/>
      <c r="H58" s="10"/>
    </row>
    <row r="59" customFormat="false" ht="18" hidden="false" customHeight="true" outlineLevel="0" collapsed="false">
      <c r="A59" s="10" t="s">
        <v>255</v>
      </c>
      <c r="B59" s="10"/>
      <c r="C59" s="10"/>
      <c r="D59" s="13" t="str">
        <f aca="false">IF('01 ADMIN_ORDER'!P3="","BELUM DITETAPKAN",TEXT('01 ADMIN_ORDER'!P3,"dd mmm yyyy"))</f>
        <v>BELUM DITETAPKAN</v>
      </c>
      <c r="E59" s="13"/>
      <c r="F59" s="13"/>
      <c r="G59" s="13"/>
      <c r="H59" s="13"/>
    </row>
    <row r="60" customFormat="false" ht="18" hidden="false" customHeight="true" outlineLevel="0" collapsed="false">
      <c r="A60" s="10" t="s">
        <v>256</v>
      </c>
      <c r="B60" s="10"/>
      <c r="C60" s="10"/>
      <c r="D60" s="13" t="str">
        <f aca="false">IF('01 ADMIN_ORDER'!Q3="","BELUM DITETAPKAN",TEXT('01 ADMIN_ORDER'!Q3,"dd mmm yyyy"))</f>
        <v>BELUM DITETAPKAN</v>
      </c>
      <c r="E60" s="13"/>
      <c r="F60" s="13"/>
      <c r="G60" s="13"/>
      <c r="H60" s="13"/>
    </row>
    <row r="61" customFormat="false" ht="25.5" hidden="false" customHeight="true" outlineLevel="0" collapsed="false">
      <c r="A61" s="12" t="str">
        <f aca="false">"REFERENSI ASSEMBLY (bukan target upper): "&amp;TEXT('01 ADMIN_ORDER'!M3,"dd mmm yyyy")&amp;" - "&amp;TEXT('01 ADMIN_ORDER'!N3,"dd mmm yyyy")</f>
        <v>REFERENSI ASSEMBLY (bukan target upper): 25 Sep 2026 - 25 Sep 2026</v>
      </c>
      <c r="B61" s="12"/>
      <c r="C61" s="12"/>
      <c r="D61" s="12"/>
      <c r="E61" s="12"/>
      <c r="F61" s="12"/>
      <c r="G61" s="12"/>
      <c r="H61" s="12"/>
    </row>
    <row r="62" customFormat="false" ht="18" hidden="false" customHeight="true" outlineLevel="0" collapsed="false">
      <c r="A62" s="10" t="s">
        <v>257</v>
      </c>
      <c r="B62" s="10"/>
      <c r="C62" s="10"/>
      <c r="D62" s="13" t="str">
        <f aca="false">IF('04 KESIAPAN'!G3="","BELUM DIISI",'04 KESIAPAN'!G3)</f>
        <v>BELUM DIISI</v>
      </c>
      <c r="E62" s="13"/>
      <c r="F62" s="13"/>
      <c r="G62" s="13"/>
      <c r="H62" s="13"/>
    </row>
    <row r="63" customFormat="false" ht="18" hidden="false" customHeight="true" outlineLevel="0" collapsed="false">
      <c r="A63" s="10" t="s">
        <v>258</v>
      </c>
      <c r="B63" s="10"/>
      <c r="C63" s="10"/>
      <c r="D63" s="13" t="str">
        <f aca="false">IF('04 KESIAPAN'!H3="","BELUM DIISI",'04 KESIAPAN'!H3)</f>
        <v>BELUM DIISI</v>
      </c>
      <c r="E63" s="13"/>
      <c r="F63" s="13"/>
      <c r="G63" s="13"/>
      <c r="H63" s="13"/>
    </row>
    <row r="64" customFormat="false" ht="18" hidden="false" customHeight="true" outlineLevel="0" collapsed="false">
      <c r="A64" s="10" t="s">
        <v>259</v>
      </c>
      <c r="B64" s="10"/>
      <c r="C64" s="10"/>
      <c r="D64" s="13" t="str">
        <f aca="false">IF('04 KESIAPAN'!I3="","BELUM DIISI",'04 KESIAPAN'!I3)</f>
        <v>BELUM DIISI</v>
      </c>
      <c r="E64" s="13"/>
      <c r="F64" s="13"/>
      <c r="G64" s="13"/>
      <c r="H64" s="13"/>
    </row>
    <row r="65" customFormat="false" ht="18" hidden="false" customHeight="true" outlineLevel="0" collapsed="false">
      <c r="A65" s="10" t="s">
        <v>260</v>
      </c>
      <c r="B65" s="10"/>
      <c r="C65" s="10"/>
      <c r="D65" s="13" t="str">
        <f aca="false">IF('04 KESIAPAN'!K3="","BELUM DIISI",'04 KESIAPAN'!K3)</f>
        <v>BELUM DIISI</v>
      </c>
      <c r="E65" s="13"/>
      <c r="F65" s="13"/>
      <c r="G65" s="13"/>
      <c r="H65" s="13"/>
    </row>
    <row r="66" customFormat="false" ht="18" hidden="false" customHeight="true" outlineLevel="0" collapsed="false">
      <c r="A66" s="10" t="s">
        <v>261</v>
      </c>
      <c r="B66" s="10"/>
      <c r="C66" s="10"/>
      <c r="D66" s="13" t="str">
        <f aca="false">IF('04 KESIAPAN'!L3="","BELUM DIISI",'04 KESIAPAN'!L3)</f>
        <v>BELUM DIISI</v>
      </c>
      <c r="E66" s="13"/>
      <c r="F66" s="13"/>
      <c r="G66" s="13"/>
      <c r="H66" s="13"/>
    </row>
    <row r="67" customFormat="false" ht="18" hidden="false" customHeight="true" outlineLevel="0" collapsed="false">
      <c r="A67" s="10" t="s">
        <v>262</v>
      </c>
      <c r="B67" s="10"/>
      <c r="C67" s="10"/>
      <c r="D67" s="13" t="str">
        <f aca="false">IF('04 KESIAPAN'!N3="","BELUM DIISI",'04 KESIAPAN'!N3)</f>
        <v>BELUM DIISI</v>
      </c>
      <c r="E67" s="13"/>
      <c r="F67" s="13"/>
      <c r="G67" s="13"/>
      <c r="H67" s="13"/>
    </row>
    <row r="68" customFormat="false" ht="18" hidden="false" customHeight="true" outlineLevel="0" collapsed="false">
      <c r="A68" s="10" t="s">
        <v>263</v>
      </c>
      <c r="B68" s="10"/>
      <c r="C68" s="10"/>
      <c r="D68" s="13" t="str">
        <f aca="false">IF('04 KESIAPAN'!P3="","BELUM DIISI",'04 KESIAPAN'!P3)</f>
        <v>BELUM DIISI</v>
      </c>
      <c r="E68" s="13"/>
      <c r="F68" s="13"/>
      <c r="G68" s="13"/>
      <c r="H68" s="13"/>
    </row>
    <row r="69" customFormat="false" ht="18" hidden="false" customHeight="true" outlineLevel="0" collapsed="false">
      <c r="A69" s="7" t="s">
        <v>264</v>
      </c>
      <c r="B69" s="7"/>
      <c r="C69" s="7"/>
      <c r="D69" s="7"/>
      <c r="E69" s="7"/>
      <c r="F69" s="7"/>
      <c r="G69" s="7"/>
      <c r="H69" s="7"/>
    </row>
    <row r="70" customFormat="false" ht="18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</row>
    <row r="71" customFormat="false" ht="18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</row>
    <row r="72" customFormat="false" ht="18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</row>
    <row r="73" customFormat="false" ht="18" hidden="false" customHeight="true" outlineLevel="0" collapsed="false">
      <c r="A73" s="12" t="s">
        <v>265</v>
      </c>
      <c r="B73" s="12"/>
      <c r="C73" s="12"/>
      <c r="D73" s="12"/>
      <c r="E73" s="12" t="s">
        <v>266</v>
      </c>
      <c r="F73" s="12"/>
      <c r="G73" s="12"/>
      <c r="H73" s="12"/>
    </row>
    <row r="74" customFormat="false" ht="18" hidden="false" customHeight="true" outlineLevel="0" collapsed="false">
      <c r="A74" s="12" t="s">
        <v>268</v>
      </c>
      <c r="B74" s="12"/>
      <c r="C74" s="12"/>
      <c r="D74" s="12"/>
      <c r="E74" s="12"/>
      <c r="F74" s="12"/>
      <c r="G74" s="12"/>
      <c r="H74" s="12"/>
    </row>
    <row r="75" customFormat="false" ht="18" hidden="false" customHeight="true" outlineLevel="0" collapsed="false"/>
    <row r="76" customFormat="false" ht="18" hidden="false" customHeight="true" outlineLevel="0" collapsed="false"/>
    <row r="77" customFormat="false" ht="25.5" hidden="false" customHeight="true" outlineLevel="0" collapsed="false">
      <c r="A77" s="7" t="s">
        <v>246</v>
      </c>
      <c r="B77" s="7"/>
      <c r="C77" s="7"/>
      <c r="D77" s="7"/>
      <c r="E77" s="7"/>
      <c r="F77" s="7"/>
      <c r="G77" s="7"/>
      <c r="H77" s="7"/>
    </row>
    <row r="78" customFormat="false" ht="18" hidden="false" customHeight="true" outlineLevel="0" collapsed="false">
      <c r="A78" s="8" t="str">
        <f aca="false">'01 ADMIN_ORDER'!R4</f>
        <v>DRAFT - PERLU VERIFIKASI</v>
      </c>
      <c r="B78" s="8"/>
      <c r="C78" s="8"/>
      <c r="D78" s="8"/>
      <c r="E78" s="8"/>
      <c r="F78" s="8"/>
      <c r="G78" s="8"/>
      <c r="H78" s="8"/>
    </row>
    <row r="79" customFormat="false" ht="18" hidden="false" customHeight="true" outlineLevel="0" collapsed="false">
      <c r="A79" s="9" t="s">
        <v>247</v>
      </c>
      <c r="B79" s="9"/>
      <c r="C79" s="9"/>
      <c r="D79" s="9"/>
      <c r="E79" s="9"/>
      <c r="F79" s="9"/>
      <c r="G79" s="9"/>
      <c r="H79" s="9"/>
    </row>
    <row r="80" customFormat="false" ht="18" hidden="false" customHeight="true" outlineLevel="0" collapsed="false">
      <c r="A80" s="10" t="s">
        <v>248</v>
      </c>
      <c r="B80" s="10"/>
      <c r="C80" s="11" t="str">
        <f aca="false">'01 ADMIN_ORDER'!A4</f>
        <v>139/10/3 (59)</v>
      </c>
      <c r="D80" s="11"/>
      <c r="E80" s="11"/>
      <c r="F80" s="11"/>
      <c r="G80" s="11"/>
      <c r="H80" s="11"/>
    </row>
    <row r="81" customFormat="false" ht="18" hidden="false" customHeight="true" outlineLevel="0" collapsed="false">
      <c r="A81" s="10" t="s">
        <v>249</v>
      </c>
      <c r="B81" s="10"/>
      <c r="C81" s="12" t="str">
        <f aca="false">'01 ADMIN_ORDER'!C4&amp;" / "&amp;'01 ADMIN_ORDER'!D4</f>
        <v>FRONTCOURT LOW / LA6616</v>
      </c>
      <c r="D81" s="12"/>
      <c r="E81" s="12"/>
      <c r="F81" s="12"/>
      <c r="G81" s="12"/>
      <c r="H81" s="12"/>
    </row>
    <row r="82" customFormat="false" ht="18" hidden="false" customHeight="true" outlineLevel="0" collapsed="false">
      <c r="A82" s="10" t="s">
        <v>250</v>
      </c>
      <c r="B82" s="10"/>
      <c r="C82" s="12" t="str">
        <f aca="false">'01 ADMIN_ORDER'!E4</f>
        <v>903424679</v>
      </c>
      <c r="D82" s="12"/>
      <c r="E82" s="12"/>
      <c r="F82" s="12"/>
      <c r="G82" s="12"/>
      <c r="H82" s="12"/>
    </row>
    <row r="83" customFormat="false" ht="27.75" hidden="false" customHeight="true" outlineLevel="0" collapsed="false">
      <c r="A83" s="10" t="s">
        <v>251</v>
      </c>
      <c r="B83" s="10"/>
      <c r="C83" s="12" t="str">
        <f aca="false">'01 ADMIN_ORDER'!H4</f>
        <v>EARTH STRATA/OFF WHITE/DARK BROWN</v>
      </c>
      <c r="D83" s="12"/>
      <c r="E83" s="12"/>
      <c r="F83" s="12"/>
      <c r="G83" s="12"/>
      <c r="H83" s="12"/>
    </row>
    <row r="84" customFormat="false" ht="18" hidden="false" customHeight="true" outlineLevel="0" collapsed="false">
      <c r="A84" s="10" t="s">
        <v>252</v>
      </c>
      <c r="B84" s="10"/>
      <c r="C84" s="12" t="str">
        <f aca="false">'01 ADMIN_ORDER'!B4&amp;" / "&amp;'01 ADMIN_ORDER'!G4</f>
        <v>A-19 / Germany</v>
      </c>
      <c r="D84" s="12"/>
      <c r="E84" s="12"/>
      <c r="F84" s="12"/>
      <c r="G84" s="12"/>
      <c r="H84" s="12"/>
    </row>
    <row r="85" customFormat="false" ht="18" hidden="false" customHeight="true" outlineLevel="0" collapsed="false">
      <c r="A85" s="10" t="s">
        <v>253</v>
      </c>
      <c r="B85" s="10"/>
      <c r="C85" s="13" t="str">
        <f aca="false">'01 ADMIN_ORDER'!I4&amp;" / "&amp;IF('04 KESIAPAN'!B4="","UOM BELUM DIISI",'04 KESIAPAN'!B4)</f>
        <v>650 / UOM BELUM DIISI</v>
      </c>
      <c r="D85" s="13"/>
      <c r="E85" s="13"/>
      <c r="F85" s="13"/>
      <c r="G85" s="13"/>
      <c r="H85" s="13"/>
    </row>
    <row r="86" customFormat="false" ht="18" hidden="false" customHeight="true" outlineLevel="0" collapsed="false">
      <c r="A86" s="13" t="str">
        <f aca="false">IF('04 KESIAPAN'!C4="","SISTEM UKURAN BELUM DIISI",'04 KESIAPAN'!C4)&amp;" | Tanda -: "&amp;IF('04 KESIAPAN'!D4="","BELUM DIKONFIRMASI",'04 KESIAPAN'!D4)</f>
        <v>SISTEM UKURAN BELUM DIISI | Tanda -: BELUM DIKONFIRMASI</v>
      </c>
      <c r="B86" s="13"/>
      <c r="C86" s="13"/>
      <c r="D86" s="13"/>
      <c r="E86" s="13"/>
      <c r="F86" s="13"/>
      <c r="G86" s="13"/>
      <c r="H86" s="13"/>
    </row>
    <row r="87" customFormat="false" ht="18" hidden="false" customHeight="true" outlineLevel="0" collapsed="false">
      <c r="A87" s="7" t="s">
        <v>254</v>
      </c>
      <c r="B87" s="7"/>
      <c r="C87" s="7"/>
      <c r="D87" s="7"/>
      <c r="E87" s="7"/>
      <c r="F87" s="7"/>
      <c r="G87" s="7"/>
      <c r="H87" s="7"/>
    </row>
    <row r="88" customFormat="false" ht="18" hidden="false" customHeight="true" outlineLevel="0" collapsed="false">
      <c r="A88" s="14" t="s">
        <v>214</v>
      </c>
      <c r="B88" s="0" t="n">
        <f aca="false">'02 SIZE_RUN'!D4</f>
        <v>0</v>
      </c>
      <c r="C88" s="14" t="s">
        <v>215</v>
      </c>
      <c r="D88" s="0" t="n">
        <f aca="false">'02 SIZE_RUN'!E4</f>
        <v>0</v>
      </c>
      <c r="E88" s="14" t="s">
        <v>216</v>
      </c>
      <c r="F88" s="0" t="n">
        <f aca="false">'02 SIZE_RUN'!F4</f>
        <v>0</v>
      </c>
      <c r="G88" s="14" t="s">
        <v>217</v>
      </c>
      <c r="H88" s="0" t="n">
        <f aca="false">'02 SIZE_RUN'!G4</f>
        <v>0</v>
      </c>
    </row>
    <row r="89" customFormat="false" ht="18" hidden="false" customHeight="true" outlineLevel="0" collapsed="false">
      <c r="A89" s="14" t="s">
        <v>218</v>
      </c>
      <c r="B89" s="0" t="n">
        <f aca="false">'02 SIZE_RUN'!H4</f>
        <v>0</v>
      </c>
      <c r="C89" s="14" t="s">
        <v>219</v>
      </c>
      <c r="D89" s="0" t="n">
        <f aca="false">'02 SIZE_RUN'!I4</f>
        <v>0</v>
      </c>
      <c r="E89" s="14" t="s">
        <v>220</v>
      </c>
      <c r="F89" s="0" t="n">
        <f aca="false">'02 SIZE_RUN'!J4</f>
        <v>6</v>
      </c>
      <c r="G89" s="14" t="s">
        <v>221</v>
      </c>
      <c r="H89" s="0" t="n">
        <f aca="false">'02 SIZE_RUN'!K4</f>
        <v>10</v>
      </c>
    </row>
    <row r="90" customFormat="false" ht="18" hidden="false" customHeight="true" outlineLevel="0" collapsed="false">
      <c r="A90" s="14" t="s">
        <v>222</v>
      </c>
      <c r="B90" s="0" t="n">
        <f aca="false">'02 SIZE_RUN'!L4</f>
        <v>23</v>
      </c>
      <c r="C90" s="14" t="s">
        <v>223</v>
      </c>
      <c r="D90" s="0" t="n">
        <f aca="false">'02 SIZE_RUN'!M4</f>
        <v>29</v>
      </c>
      <c r="E90" s="14" t="s">
        <v>224</v>
      </c>
      <c r="F90" s="0" t="n">
        <f aca="false">'02 SIZE_RUN'!N4</f>
        <v>81</v>
      </c>
      <c r="G90" s="14" t="s">
        <v>225</v>
      </c>
      <c r="H90" s="0" t="n">
        <f aca="false">'02 SIZE_RUN'!O4</f>
        <v>72</v>
      </c>
    </row>
    <row r="91" customFormat="false" ht="18" hidden="false" customHeight="true" outlineLevel="0" collapsed="false">
      <c r="A91" s="14" t="s">
        <v>226</v>
      </c>
      <c r="B91" s="0" t="n">
        <f aca="false">'02 SIZE_RUN'!P4</f>
        <v>117</v>
      </c>
      <c r="C91" s="14" t="s">
        <v>227</v>
      </c>
      <c r="D91" s="0" t="n">
        <f aca="false">'02 SIZE_RUN'!Q4</f>
        <v>88</v>
      </c>
      <c r="E91" s="14" t="s">
        <v>228</v>
      </c>
      <c r="F91" s="0" t="n">
        <f aca="false">'02 SIZE_RUN'!R4</f>
        <v>78</v>
      </c>
      <c r="G91" s="14" t="s">
        <v>229</v>
      </c>
      <c r="H91" s="0" t="n">
        <f aca="false">'02 SIZE_RUN'!S4</f>
        <v>71</v>
      </c>
    </row>
    <row r="92" customFormat="false" ht="18" hidden="false" customHeight="true" outlineLevel="0" collapsed="false">
      <c r="A92" s="14" t="s">
        <v>230</v>
      </c>
      <c r="B92" s="0" t="n">
        <f aca="false">'02 SIZE_RUN'!T4</f>
        <v>49</v>
      </c>
      <c r="C92" s="14" t="s">
        <v>231</v>
      </c>
      <c r="D92" s="0" t="n">
        <f aca="false">'02 SIZE_RUN'!U4</f>
        <v>0</v>
      </c>
      <c r="E92" s="14" t="s">
        <v>232</v>
      </c>
      <c r="F92" s="0" t="n">
        <f aca="false">'02 SIZE_RUN'!V4</f>
        <v>26</v>
      </c>
      <c r="G92" s="14" t="s">
        <v>233</v>
      </c>
      <c r="H92" s="0" t="n">
        <f aca="false">'02 SIZE_RUN'!W4</f>
        <v>0</v>
      </c>
    </row>
    <row r="93" customFormat="false" ht="18" hidden="false" customHeight="true" outlineLevel="0" collapsed="false">
      <c r="A93" s="14" t="s">
        <v>234</v>
      </c>
      <c r="B93" s="0" t="n">
        <f aca="false">'02 SIZE_RUN'!X4</f>
        <v>0</v>
      </c>
      <c r="C93" s="14" t="s">
        <v>235</v>
      </c>
      <c r="D93" s="0" t="n">
        <f aca="false">'02 SIZE_RUN'!Y4</f>
        <v>0</v>
      </c>
      <c r="E93" s="14" t="s">
        <v>236</v>
      </c>
      <c r="F93" s="0" t="n">
        <f aca="false">'02 SIZE_RUN'!Z4</f>
        <v>0</v>
      </c>
      <c r="G93" s="14" t="s">
        <v>237</v>
      </c>
      <c r="H93" s="0" t="n">
        <f aca="false">'02 SIZE_RUN'!AA4</f>
        <v>0</v>
      </c>
    </row>
    <row r="94" customFormat="false" ht="18" hidden="false" customHeight="true" outlineLevel="0" collapsed="false">
      <c r="A94" s="14" t="s">
        <v>238</v>
      </c>
      <c r="B94" s="0" t="n">
        <f aca="false">'02 SIZE_RUN'!AB4</f>
        <v>0</v>
      </c>
      <c r="C94" s="14" t="s">
        <v>239</v>
      </c>
      <c r="D94" s="0" t="n">
        <f aca="false">'02 SIZE_RUN'!AC4</f>
        <v>0</v>
      </c>
      <c r="E94" s="14" t="s">
        <v>240</v>
      </c>
      <c r="F94" s="0" t="n">
        <f aca="false">'02 SIZE_RUN'!AD4</f>
        <v>0</v>
      </c>
      <c r="G94" s="14" t="s">
        <v>241</v>
      </c>
      <c r="H94" s="0" t="n">
        <f aca="false">'02 SIZE_RUN'!AE4</f>
        <v>0</v>
      </c>
    </row>
    <row r="95" customFormat="false" ht="18" hidden="false" customHeight="true" outlineLevel="0" collapsed="false">
      <c r="A95" s="14" t="s">
        <v>242</v>
      </c>
      <c r="B95" s="0" t="n">
        <f aca="false">'02 SIZE_RUN'!AF4</f>
        <v>0</v>
      </c>
    </row>
    <row r="96" customFormat="false" ht="18" hidden="false" customHeight="true" outlineLevel="0" collapsed="false">
      <c r="A96" s="10" t="str">
        <f aca="false">"TOTAL SIZE: "&amp;'02 SIZE_RUN'!AG4&amp;" | SELISIH: "&amp;'02 SIZE_RUN'!AH4</f>
        <v>TOTAL SIZE: 650 | SELISIH: 0</v>
      </c>
      <c r="B96" s="10"/>
      <c r="C96" s="10"/>
      <c r="D96" s="10"/>
      <c r="E96" s="10"/>
      <c r="F96" s="10"/>
      <c r="G96" s="10"/>
      <c r="H96" s="10"/>
    </row>
    <row r="97" customFormat="false" ht="18" hidden="false" customHeight="true" outlineLevel="0" collapsed="false">
      <c r="A97" s="10" t="s">
        <v>255</v>
      </c>
      <c r="B97" s="10"/>
      <c r="C97" s="10"/>
      <c r="D97" s="13" t="str">
        <f aca="false">IF('01 ADMIN_ORDER'!P4="","BELUM DITETAPKAN",TEXT('01 ADMIN_ORDER'!P4,"dd mmm yyyy"))</f>
        <v>BELUM DITETAPKAN</v>
      </c>
      <c r="E97" s="13"/>
      <c r="F97" s="13"/>
      <c r="G97" s="13"/>
      <c r="H97" s="13"/>
    </row>
    <row r="98" customFormat="false" ht="18" hidden="false" customHeight="true" outlineLevel="0" collapsed="false">
      <c r="A98" s="10" t="s">
        <v>256</v>
      </c>
      <c r="B98" s="10"/>
      <c r="C98" s="10"/>
      <c r="D98" s="13" t="str">
        <f aca="false">IF('01 ADMIN_ORDER'!Q4="","BELUM DITETAPKAN",TEXT('01 ADMIN_ORDER'!Q4,"dd mmm yyyy"))</f>
        <v>BELUM DITETAPKAN</v>
      </c>
      <c r="E98" s="13"/>
      <c r="F98" s="13"/>
      <c r="G98" s="13"/>
      <c r="H98" s="13"/>
    </row>
    <row r="99" customFormat="false" ht="25.5" hidden="false" customHeight="true" outlineLevel="0" collapsed="false">
      <c r="A99" s="12" t="str">
        <f aca="false">"REFERENSI ASSEMBLY (bukan target upper): "&amp;TEXT('01 ADMIN_ORDER'!M4,"dd mmm yyyy")&amp;" - "&amp;TEXT('01 ADMIN_ORDER'!N4,"dd mmm yyyy")</f>
        <v>REFERENSI ASSEMBLY (bukan target upper): 25 Sep 2026 - 25 Sep 2026</v>
      </c>
      <c r="B99" s="12"/>
      <c r="C99" s="12"/>
      <c r="D99" s="12"/>
      <c r="E99" s="12"/>
      <c r="F99" s="12"/>
      <c r="G99" s="12"/>
      <c r="H99" s="12"/>
    </row>
    <row r="100" customFormat="false" ht="18" hidden="false" customHeight="true" outlineLevel="0" collapsed="false">
      <c r="A100" s="10" t="s">
        <v>257</v>
      </c>
      <c r="B100" s="10"/>
      <c r="C100" s="10"/>
      <c r="D100" s="13" t="str">
        <f aca="false">IF('04 KESIAPAN'!G4="","BELUM DIISI",'04 KESIAPAN'!G4)</f>
        <v>BELUM DIISI</v>
      </c>
      <c r="E100" s="13"/>
      <c r="F100" s="13"/>
      <c r="G100" s="13"/>
      <c r="H100" s="13"/>
    </row>
    <row r="101" customFormat="false" ht="18" hidden="false" customHeight="true" outlineLevel="0" collapsed="false">
      <c r="A101" s="10" t="s">
        <v>258</v>
      </c>
      <c r="B101" s="10"/>
      <c r="C101" s="10"/>
      <c r="D101" s="13" t="str">
        <f aca="false">IF('04 KESIAPAN'!H4="","BELUM DIISI",'04 KESIAPAN'!H4)</f>
        <v>BELUM DIISI</v>
      </c>
      <c r="E101" s="13"/>
      <c r="F101" s="13"/>
      <c r="G101" s="13"/>
      <c r="H101" s="13"/>
    </row>
    <row r="102" customFormat="false" ht="18" hidden="false" customHeight="true" outlineLevel="0" collapsed="false">
      <c r="A102" s="10" t="s">
        <v>259</v>
      </c>
      <c r="B102" s="10"/>
      <c r="C102" s="10"/>
      <c r="D102" s="13" t="str">
        <f aca="false">IF('04 KESIAPAN'!I4="","BELUM DIISI",'04 KESIAPAN'!I4)</f>
        <v>BELUM DIISI</v>
      </c>
      <c r="E102" s="13"/>
      <c r="F102" s="13"/>
      <c r="G102" s="13"/>
      <c r="H102" s="13"/>
    </row>
    <row r="103" customFormat="false" ht="18" hidden="false" customHeight="true" outlineLevel="0" collapsed="false">
      <c r="A103" s="10" t="s">
        <v>260</v>
      </c>
      <c r="B103" s="10"/>
      <c r="C103" s="10"/>
      <c r="D103" s="13" t="str">
        <f aca="false">IF('04 KESIAPAN'!K4="","BELUM DIISI",'04 KESIAPAN'!K4)</f>
        <v>BELUM DIISI</v>
      </c>
      <c r="E103" s="13"/>
      <c r="F103" s="13"/>
      <c r="G103" s="13"/>
      <c r="H103" s="13"/>
    </row>
    <row r="104" customFormat="false" ht="18" hidden="false" customHeight="true" outlineLevel="0" collapsed="false">
      <c r="A104" s="10" t="s">
        <v>261</v>
      </c>
      <c r="B104" s="10"/>
      <c r="C104" s="10"/>
      <c r="D104" s="13" t="str">
        <f aca="false">IF('04 KESIAPAN'!L4="","BELUM DIISI",'04 KESIAPAN'!L4)</f>
        <v>BELUM DIISI</v>
      </c>
      <c r="E104" s="13"/>
      <c r="F104" s="13"/>
      <c r="G104" s="13"/>
      <c r="H104" s="13"/>
    </row>
    <row r="105" customFormat="false" ht="18" hidden="false" customHeight="true" outlineLevel="0" collapsed="false">
      <c r="A105" s="10" t="s">
        <v>262</v>
      </c>
      <c r="B105" s="10"/>
      <c r="C105" s="10"/>
      <c r="D105" s="13" t="str">
        <f aca="false">IF('04 KESIAPAN'!N4="","BELUM DIISI",'04 KESIAPAN'!N4)</f>
        <v>BELUM DIISI</v>
      </c>
      <c r="E105" s="13"/>
      <c r="F105" s="13"/>
      <c r="G105" s="13"/>
      <c r="H105" s="13"/>
    </row>
    <row r="106" customFormat="false" ht="18" hidden="false" customHeight="true" outlineLevel="0" collapsed="false">
      <c r="A106" s="10" t="s">
        <v>263</v>
      </c>
      <c r="B106" s="10"/>
      <c r="C106" s="10"/>
      <c r="D106" s="13" t="str">
        <f aca="false">IF('04 KESIAPAN'!P4="","BELUM DIISI",'04 KESIAPAN'!P4)</f>
        <v>BELUM DIISI</v>
      </c>
      <c r="E106" s="13"/>
      <c r="F106" s="13"/>
      <c r="G106" s="13"/>
      <c r="H106" s="13"/>
    </row>
    <row r="107" customFormat="false" ht="18" hidden="false" customHeight="true" outlineLevel="0" collapsed="false">
      <c r="A107" s="7" t="s">
        <v>264</v>
      </c>
      <c r="B107" s="7"/>
      <c r="C107" s="7"/>
      <c r="D107" s="7"/>
      <c r="E107" s="7"/>
      <c r="F107" s="7"/>
      <c r="G107" s="7"/>
      <c r="H107" s="7"/>
    </row>
    <row r="108" customFormat="false" ht="18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</row>
    <row r="109" customFormat="false" ht="18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</row>
    <row r="110" customFormat="false" ht="18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</row>
    <row r="111" customFormat="false" ht="18" hidden="false" customHeight="true" outlineLevel="0" collapsed="false">
      <c r="A111" s="12" t="s">
        <v>265</v>
      </c>
      <c r="B111" s="12"/>
      <c r="C111" s="12"/>
      <c r="D111" s="12"/>
      <c r="E111" s="12" t="s">
        <v>266</v>
      </c>
      <c r="F111" s="12"/>
      <c r="G111" s="12"/>
      <c r="H111" s="12"/>
    </row>
    <row r="112" customFormat="false" ht="18" hidden="false" customHeight="true" outlineLevel="0" collapsed="false">
      <c r="A112" s="12" t="s">
        <v>269</v>
      </c>
      <c r="B112" s="12"/>
      <c r="C112" s="12"/>
      <c r="D112" s="12"/>
      <c r="E112" s="12"/>
      <c r="F112" s="12"/>
      <c r="G112" s="12"/>
      <c r="H112" s="12"/>
    </row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25.5" hidden="false" customHeight="true" outlineLevel="0" collapsed="false">
      <c r="A115" s="7" t="s">
        <v>246</v>
      </c>
      <c r="B115" s="7"/>
      <c r="C115" s="7"/>
      <c r="D115" s="7"/>
      <c r="E115" s="7"/>
      <c r="F115" s="7"/>
      <c r="G115" s="7"/>
      <c r="H115" s="7"/>
    </row>
    <row r="116" customFormat="false" ht="18" hidden="false" customHeight="true" outlineLevel="0" collapsed="false">
      <c r="A116" s="8" t="str">
        <f aca="false">'01 ADMIN_ORDER'!R5</f>
        <v>DRAFT - PERLU VERIFIKASI</v>
      </c>
      <c r="B116" s="8"/>
      <c r="C116" s="8"/>
      <c r="D116" s="8"/>
      <c r="E116" s="8"/>
      <c r="F116" s="8"/>
      <c r="G116" s="8"/>
      <c r="H116" s="8"/>
    </row>
    <row r="117" customFormat="false" ht="18" hidden="false" customHeight="true" outlineLevel="0" collapsed="false">
      <c r="A117" s="9" t="s">
        <v>247</v>
      </c>
      <c r="B117" s="9"/>
      <c r="C117" s="9"/>
      <c r="D117" s="9"/>
      <c r="E117" s="9"/>
      <c r="F117" s="9"/>
      <c r="G117" s="9"/>
      <c r="H117" s="9"/>
    </row>
    <row r="118" customFormat="false" ht="18" hidden="false" customHeight="true" outlineLevel="0" collapsed="false">
      <c r="A118" s="10" t="s">
        <v>248</v>
      </c>
      <c r="B118" s="10"/>
      <c r="C118" s="11" t="str">
        <f aca="false">'01 ADMIN_ORDER'!A5</f>
        <v>140/10/4 (59)</v>
      </c>
      <c r="D118" s="11"/>
      <c r="E118" s="11"/>
      <c r="F118" s="11"/>
      <c r="G118" s="11"/>
      <c r="H118" s="11"/>
    </row>
    <row r="119" customFormat="false" ht="18" hidden="false" customHeight="true" outlineLevel="0" collapsed="false">
      <c r="A119" s="10" t="s">
        <v>249</v>
      </c>
      <c r="B119" s="10"/>
      <c r="C119" s="12" t="str">
        <f aca="false">'01 ADMIN_ORDER'!C5&amp;" / "&amp;'01 ADMIN_ORDER'!D5</f>
        <v>FRONTCOURT LOW / LA6616</v>
      </c>
      <c r="D119" s="12"/>
      <c r="E119" s="12"/>
      <c r="F119" s="12"/>
      <c r="G119" s="12"/>
      <c r="H119" s="12"/>
    </row>
    <row r="120" customFormat="false" ht="18" hidden="false" customHeight="true" outlineLevel="0" collapsed="false">
      <c r="A120" s="10" t="s">
        <v>250</v>
      </c>
      <c r="B120" s="10"/>
      <c r="C120" s="12" t="str">
        <f aca="false">'01 ADMIN_ORDER'!E5</f>
        <v>903424725</v>
      </c>
      <c r="D120" s="12"/>
      <c r="E120" s="12"/>
      <c r="F120" s="12"/>
      <c r="G120" s="12"/>
      <c r="H120" s="12"/>
    </row>
    <row r="121" customFormat="false" ht="27.75" hidden="false" customHeight="true" outlineLevel="0" collapsed="false">
      <c r="A121" s="10" t="s">
        <v>251</v>
      </c>
      <c r="B121" s="10"/>
      <c r="C121" s="12" t="str">
        <f aca="false">'01 ADMIN_ORDER'!H5</f>
        <v>EARTH STRATA/OFF WHITE/DARK BROWN</v>
      </c>
      <c r="D121" s="12"/>
      <c r="E121" s="12"/>
      <c r="F121" s="12"/>
      <c r="G121" s="12"/>
      <c r="H121" s="12"/>
    </row>
    <row r="122" customFormat="false" ht="18" hidden="false" customHeight="true" outlineLevel="0" collapsed="false">
      <c r="A122" s="10" t="s">
        <v>252</v>
      </c>
      <c r="B122" s="10"/>
      <c r="C122" s="12" t="str">
        <f aca="false">'01 ADMIN_ORDER'!B5&amp;" / "&amp;'01 ADMIN_ORDER'!G5</f>
        <v>A-19 / Germany</v>
      </c>
      <c r="D122" s="12"/>
      <c r="E122" s="12"/>
      <c r="F122" s="12"/>
      <c r="G122" s="12"/>
      <c r="H122" s="12"/>
    </row>
    <row r="123" customFormat="false" ht="18" hidden="false" customHeight="true" outlineLevel="0" collapsed="false">
      <c r="A123" s="10" t="s">
        <v>253</v>
      </c>
      <c r="B123" s="10"/>
      <c r="C123" s="13" t="str">
        <f aca="false">'01 ADMIN_ORDER'!I5&amp;" / "&amp;IF('04 KESIAPAN'!B5="","UOM BELUM DIISI",'04 KESIAPAN'!B5)</f>
        <v>650 / UOM BELUM DIISI</v>
      </c>
      <c r="D123" s="13"/>
      <c r="E123" s="13"/>
      <c r="F123" s="13"/>
      <c r="G123" s="13"/>
      <c r="H123" s="13"/>
    </row>
    <row r="124" customFormat="false" ht="18" hidden="false" customHeight="true" outlineLevel="0" collapsed="false">
      <c r="A124" s="13" t="str">
        <f aca="false">IF('04 KESIAPAN'!C5="","SISTEM UKURAN BELUM DIISI",'04 KESIAPAN'!C5)&amp;" | Tanda -: "&amp;IF('04 KESIAPAN'!D5="","BELUM DIKONFIRMASI",'04 KESIAPAN'!D5)</f>
        <v>SISTEM UKURAN BELUM DIISI | Tanda -: BELUM DIKONFIRMASI</v>
      </c>
      <c r="B124" s="13"/>
      <c r="C124" s="13"/>
      <c r="D124" s="13"/>
      <c r="E124" s="13"/>
      <c r="F124" s="13"/>
      <c r="G124" s="13"/>
      <c r="H124" s="13"/>
    </row>
    <row r="125" customFormat="false" ht="18" hidden="false" customHeight="true" outlineLevel="0" collapsed="false">
      <c r="A125" s="7" t="s">
        <v>254</v>
      </c>
      <c r="B125" s="7"/>
      <c r="C125" s="7"/>
      <c r="D125" s="7"/>
      <c r="E125" s="7"/>
      <c r="F125" s="7"/>
      <c r="G125" s="7"/>
      <c r="H125" s="7"/>
    </row>
    <row r="126" customFormat="false" ht="18" hidden="false" customHeight="true" outlineLevel="0" collapsed="false">
      <c r="A126" s="14" t="s">
        <v>214</v>
      </c>
      <c r="B126" s="0" t="n">
        <f aca="false">'02 SIZE_RUN'!D5</f>
        <v>0</v>
      </c>
      <c r="C126" s="14" t="s">
        <v>215</v>
      </c>
      <c r="D126" s="0" t="n">
        <f aca="false">'02 SIZE_RUN'!E5</f>
        <v>0</v>
      </c>
      <c r="E126" s="14" t="s">
        <v>216</v>
      </c>
      <c r="F126" s="0" t="n">
        <f aca="false">'02 SIZE_RUN'!F5</f>
        <v>0</v>
      </c>
      <c r="G126" s="14" t="s">
        <v>217</v>
      </c>
      <c r="H126" s="0" t="n">
        <f aca="false">'02 SIZE_RUN'!G5</f>
        <v>0</v>
      </c>
    </row>
    <row r="127" customFormat="false" ht="18" hidden="false" customHeight="true" outlineLevel="0" collapsed="false">
      <c r="A127" s="14" t="s">
        <v>218</v>
      </c>
      <c r="B127" s="0" t="n">
        <f aca="false">'02 SIZE_RUN'!H5</f>
        <v>0</v>
      </c>
      <c r="C127" s="14" t="s">
        <v>219</v>
      </c>
      <c r="D127" s="0" t="n">
        <f aca="false">'02 SIZE_RUN'!I5</f>
        <v>0</v>
      </c>
      <c r="E127" s="14" t="s">
        <v>220</v>
      </c>
      <c r="F127" s="0" t="n">
        <f aca="false">'02 SIZE_RUN'!J5</f>
        <v>10</v>
      </c>
      <c r="G127" s="14" t="s">
        <v>221</v>
      </c>
      <c r="H127" s="0" t="n">
        <f aca="false">'02 SIZE_RUN'!K5</f>
        <v>32</v>
      </c>
    </row>
    <row r="128" customFormat="false" ht="18" hidden="false" customHeight="true" outlineLevel="0" collapsed="false">
      <c r="A128" s="14" t="s">
        <v>222</v>
      </c>
      <c r="B128" s="0" t="n">
        <f aca="false">'02 SIZE_RUN'!L5</f>
        <v>36</v>
      </c>
      <c r="C128" s="14" t="s">
        <v>223</v>
      </c>
      <c r="D128" s="0" t="n">
        <f aca="false">'02 SIZE_RUN'!M5</f>
        <v>36</v>
      </c>
      <c r="E128" s="14" t="s">
        <v>224</v>
      </c>
      <c r="F128" s="0" t="n">
        <f aca="false">'02 SIZE_RUN'!N5</f>
        <v>107</v>
      </c>
      <c r="G128" s="14" t="s">
        <v>225</v>
      </c>
      <c r="H128" s="0" t="n">
        <f aca="false">'02 SIZE_RUN'!O5</f>
        <v>49</v>
      </c>
    </row>
    <row r="129" customFormat="false" ht="18" hidden="false" customHeight="true" outlineLevel="0" collapsed="false">
      <c r="A129" s="14" t="s">
        <v>226</v>
      </c>
      <c r="B129" s="0" t="n">
        <f aca="false">'02 SIZE_RUN'!P5</f>
        <v>130</v>
      </c>
      <c r="C129" s="14" t="s">
        <v>227</v>
      </c>
      <c r="D129" s="0" t="n">
        <f aca="false">'02 SIZE_RUN'!Q5</f>
        <v>62</v>
      </c>
      <c r="E129" s="14" t="s">
        <v>228</v>
      </c>
      <c r="F129" s="0" t="n">
        <f aca="false">'02 SIZE_RUN'!R5</f>
        <v>71</v>
      </c>
      <c r="G129" s="14" t="s">
        <v>229</v>
      </c>
      <c r="H129" s="0" t="n">
        <f aca="false">'02 SIZE_RUN'!S5</f>
        <v>52</v>
      </c>
    </row>
    <row r="130" customFormat="false" ht="18" hidden="false" customHeight="true" outlineLevel="0" collapsed="false">
      <c r="A130" s="14" t="s">
        <v>230</v>
      </c>
      <c r="B130" s="0" t="n">
        <f aca="false">'02 SIZE_RUN'!T5</f>
        <v>36</v>
      </c>
      <c r="C130" s="14" t="s">
        <v>231</v>
      </c>
      <c r="D130" s="0" t="n">
        <f aca="false">'02 SIZE_RUN'!U5</f>
        <v>0</v>
      </c>
      <c r="E130" s="14" t="s">
        <v>232</v>
      </c>
      <c r="F130" s="0" t="n">
        <f aca="false">'02 SIZE_RUN'!V5</f>
        <v>29</v>
      </c>
      <c r="G130" s="14" t="s">
        <v>233</v>
      </c>
      <c r="H130" s="0" t="n">
        <f aca="false">'02 SIZE_RUN'!W5</f>
        <v>0</v>
      </c>
    </row>
    <row r="131" customFormat="false" ht="18" hidden="false" customHeight="true" outlineLevel="0" collapsed="false">
      <c r="A131" s="14" t="s">
        <v>234</v>
      </c>
      <c r="B131" s="0" t="n">
        <f aca="false">'02 SIZE_RUN'!X5</f>
        <v>0</v>
      </c>
      <c r="C131" s="14" t="s">
        <v>235</v>
      </c>
      <c r="D131" s="0" t="n">
        <f aca="false">'02 SIZE_RUN'!Y5</f>
        <v>0</v>
      </c>
      <c r="E131" s="14" t="s">
        <v>236</v>
      </c>
      <c r="F131" s="0" t="n">
        <f aca="false">'02 SIZE_RUN'!Z5</f>
        <v>0</v>
      </c>
      <c r="G131" s="14" t="s">
        <v>237</v>
      </c>
      <c r="H131" s="0" t="n">
        <f aca="false">'02 SIZE_RUN'!AA5</f>
        <v>0</v>
      </c>
    </row>
    <row r="132" customFormat="false" ht="18" hidden="false" customHeight="true" outlineLevel="0" collapsed="false">
      <c r="A132" s="14" t="s">
        <v>238</v>
      </c>
      <c r="B132" s="0" t="n">
        <f aca="false">'02 SIZE_RUN'!AB5</f>
        <v>0</v>
      </c>
      <c r="C132" s="14" t="s">
        <v>239</v>
      </c>
      <c r="D132" s="0" t="n">
        <f aca="false">'02 SIZE_RUN'!AC5</f>
        <v>0</v>
      </c>
      <c r="E132" s="14" t="s">
        <v>240</v>
      </c>
      <c r="F132" s="0" t="n">
        <f aca="false">'02 SIZE_RUN'!AD5</f>
        <v>0</v>
      </c>
      <c r="G132" s="14" t="s">
        <v>241</v>
      </c>
      <c r="H132" s="0" t="n">
        <f aca="false">'02 SIZE_RUN'!AE5</f>
        <v>0</v>
      </c>
    </row>
    <row r="133" customFormat="false" ht="18" hidden="false" customHeight="true" outlineLevel="0" collapsed="false">
      <c r="A133" s="14" t="s">
        <v>242</v>
      </c>
      <c r="B133" s="0" t="n">
        <f aca="false">'02 SIZE_RUN'!AF5</f>
        <v>0</v>
      </c>
    </row>
    <row r="134" customFormat="false" ht="18" hidden="false" customHeight="true" outlineLevel="0" collapsed="false">
      <c r="A134" s="10" t="str">
        <f aca="false">"TOTAL SIZE: "&amp;'02 SIZE_RUN'!AG5&amp;" | SELISIH: "&amp;'02 SIZE_RUN'!AH5</f>
        <v>TOTAL SIZE: 650 | SELISIH: 0</v>
      </c>
      <c r="B134" s="10"/>
      <c r="C134" s="10"/>
      <c r="D134" s="10"/>
      <c r="E134" s="10"/>
      <c r="F134" s="10"/>
      <c r="G134" s="10"/>
      <c r="H134" s="10"/>
    </row>
    <row r="135" customFormat="false" ht="18" hidden="false" customHeight="true" outlineLevel="0" collapsed="false">
      <c r="A135" s="10" t="s">
        <v>255</v>
      </c>
      <c r="B135" s="10"/>
      <c r="C135" s="10"/>
      <c r="D135" s="13" t="str">
        <f aca="false">IF('01 ADMIN_ORDER'!P5="","BELUM DITETAPKAN",TEXT('01 ADMIN_ORDER'!P5,"dd mmm yyyy"))</f>
        <v>BELUM DITETAPKAN</v>
      </c>
      <c r="E135" s="13"/>
      <c r="F135" s="13"/>
      <c r="G135" s="13"/>
      <c r="H135" s="13"/>
    </row>
    <row r="136" customFormat="false" ht="18" hidden="false" customHeight="true" outlineLevel="0" collapsed="false">
      <c r="A136" s="10" t="s">
        <v>256</v>
      </c>
      <c r="B136" s="10"/>
      <c r="C136" s="10"/>
      <c r="D136" s="13" t="str">
        <f aca="false">IF('01 ADMIN_ORDER'!Q5="","BELUM DITETAPKAN",TEXT('01 ADMIN_ORDER'!Q5,"dd mmm yyyy"))</f>
        <v>BELUM DITETAPKAN</v>
      </c>
      <c r="E136" s="13"/>
      <c r="F136" s="13"/>
      <c r="G136" s="13"/>
      <c r="H136" s="13"/>
    </row>
    <row r="137" customFormat="false" ht="25.5" hidden="false" customHeight="true" outlineLevel="0" collapsed="false">
      <c r="A137" s="12" t="str">
        <f aca="false">"REFERENSI ASSEMBLY (bukan target upper): "&amp;TEXT('01 ADMIN_ORDER'!M5,"dd mmm yyyy")&amp;" - "&amp;TEXT('01 ADMIN_ORDER'!N5,"dd mmm yyyy")</f>
        <v>REFERENSI ASSEMBLY (bukan target upper): 25 Sep 2026 - 28 Sep 2026</v>
      </c>
      <c r="B137" s="12"/>
      <c r="C137" s="12"/>
      <c r="D137" s="12"/>
      <c r="E137" s="12"/>
      <c r="F137" s="12"/>
      <c r="G137" s="12"/>
      <c r="H137" s="12"/>
    </row>
    <row r="138" customFormat="false" ht="18" hidden="false" customHeight="true" outlineLevel="0" collapsed="false">
      <c r="A138" s="10" t="s">
        <v>257</v>
      </c>
      <c r="B138" s="10"/>
      <c r="C138" s="10"/>
      <c r="D138" s="13" t="str">
        <f aca="false">IF('04 KESIAPAN'!G5="","BELUM DIISI",'04 KESIAPAN'!G5)</f>
        <v>BELUM DIISI</v>
      </c>
      <c r="E138" s="13"/>
      <c r="F138" s="13"/>
      <c r="G138" s="13"/>
      <c r="H138" s="13"/>
    </row>
    <row r="139" customFormat="false" ht="18" hidden="false" customHeight="true" outlineLevel="0" collapsed="false">
      <c r="A139" s="10" t="s">
        <v>258</v>
      </c>
      <c r="B139" s="10"/>
      <c r="C139" s="10"/>
      <c r="D139" s="13" t="str">
        <f aca="false">IF('04 KESIAPAN'!H5="","BELUM DIISI",'04 KESIAPAN'!H5)</f>
        <v>BELUM DIISI</v>
      </c>
      <c r="E139" s="13"/>
      <c r="F139" s="13"/>
      <c r="G139" s="13"/>
      <c r="H139" s="13"/>
    </row>
    <row r="140" customFormat="false" ht="18" hidden="false" customHeight="true" outlineLevel="0" collapsed="false">
      <c r="A140" s="10" t="s">
        <v>259</v>
      </c>
      <c r="B140" s="10"/>
      <c r="C140" s="10"/>
      <c r="D140" s="13" t="str">
        <f aca="false">IF('04 KESIAPAN'!I5="","BELUM DIISI",'04 KESIAPAN'!I5)</f>
        <v>BELUM DIISI</v>
      </c>
      <c r="E140" s="13"/>
      <c r="F140" s="13"/>
      <c r="G140" s="13"/>
      <c r="H140" s="13"/>
    </row>
    <row r="141" customFormat="false" ht="18" hidden="false" customHeight="true" outlineLevel="0" collapsed="false">
      <c r="A141" s="10" t="s">
        <v>260</v>
      </c>
      <c r="B141" s="10"/>
      <c r="C141" s="10"/>
      <c r="D141" s="13" t="str">
        <f aca="false">IF('04 KESIAPAN'!K5="","BELUM DIISI",'04 KESIAPAN'!K5)</f>
        <v>BELUM DIISI</v>
      </c>
      <c r="E141" s="13"/>
      <c r="F141" s="13"/>
      <c r="G141" s="13"/>
      <c r="H141" s="13"/>
    </row>
    <row r="142" customFormat="false" ht="18" hidden="false" customHeight="true" outlineLevel="0" collapsed="false">
      <c r="A142" s="10" t="s">
        <v>261</v>
      </c>
      <c r="B142" s="10"/>
      <c r="C142" s="10"/>
      <c r="D142" s="13" t="str">
        <f aca="false">IF('04 KESIAPAN'!L5="","BELUM DIISI",'04 KESIAPAN'!L5)</f>
        <v>BELUM DIISI</v>
      </c>
      <c r="E142" s="13"/>
      <c r="F142" s="13"/>
      <c r="G142" s="13"/>
      <c r="H142" s="13"/>
    </row>
    <row r="143" customFormat="false" ht="18" hidden="false" customHeight="true" outlineLevel="0" collapsed="false">
      <c r="A143" s="10" t="s">
        <v>262</v>
      </c>
      <c r="B143" s="10"/>
      <c r="C143" s="10"/>
      <c r="D143" s="13" t="str">
        <f aca="false">IF('04 KESIAPAN'!N5="","BELUM DIISI",'04 KESIAPAN'!N5)</f>
        <v>BELUM DIISI</v>
      </c>
      <c r="E143" s="13"/>
      <c r="F143" s="13"/>
      <c r="G143" s="13"/>
      <c r="H143" s="13"/>
    </row>
    <row r="144" customFormat="false" ht="18" hidden="false" customHeight="true" outlineLevel="0" collapsed="false">
      <c r="A144" s="10" t="s">
        <v>263</v>
      </c>
      <c r="B144" s="10"/>
      <c r="C144" s="10"/>
      <c r="D144" s="13" t="str">
        <f aca="false">IF('04 KESIAPAN'!P5="","BELUM DIISI",'04 KESIAPAN'!P5)</f>
        <v>BELUM DIISI</v>
      </c>
      <c r="E144" s="13"/>
      <c r="F144" s="13"/>
      <c r="G144" s="13"/>
      <c r="H144" s="13"/>
    </row>
    <row r="145" customFormat="false" ht="18" hidden="false" customHeight="true" outlineLevel="0" collapsed="false">
      <c r="A145" s="7" t="s">
        <v>264</v>
      </c>
      <c r="B145" s="7"/>
      <c r="C145" s="7"/>
      <c r="D145" s="7"/>
      <c r="E145" s="7"/>
      <c r="F145" s="7"/>
      <c r="G145" s="7"/>
      <c r="H145" s="7"/>
    </row>
    <row r="146" customFormat="false" ht="18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</row>
    <row r="147" customFormat="false" ht="18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</row>
    <row r="148" customFormat="false" ht="18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</row>
    <row r="149" customFormat="false" ht="18" hidden="false" customHeight="true" outlineLevel="0" collapsed="false">
      <c r="A149" s="12" t="s">
        <v>265</v>
      </c>
      <c r="B149" s="12"/>
      <c r="C149" s="12"/>
      <c r="D149" s="12"/>
      <c r="E149" s="12" t="s">
        <v>266</v>
      </c>
      <c r="F149" s="12"/>
      <c r="G149" s="12"/>
      <c r="H149" s="12"/>
    </row>
    <row r="150" customFormat="false" ht="18" hidden="false" customHeight="true" outlineLevel="0" collapsed="false">
      <c r="A150" s="12" t="s">
        <v>270</v>
      </c>
      <c r="B150" s="12"/>
      <c r="C150" s="12"/>
      <c r="D150" s="12"/>
      <c r="E150" s="12"/>
      <c r="F150" s="12"/>
      <c r="G150" s="12"/>
      <c r="H150" s="12"/>
    </row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25.5" hidden="false" customHeight="true" outlineLevel="0" collapsed="false">
      <c r="A153" s="7" t="s">
        <v>246</v>
      </c>
      <c r="B153" s="7"/>
      <c r="C153" s="7"/>
      <c r="D153" s="7"/>
      <c r="E153" s="7"/>
      <c r="F153" s="7"/>
      <c r="G153" s="7"/>
      <c r="H153" s="7"/>
    </row>
    <row r="154" customFormat="false" ht="18" hidden="false" customHeight="true" outlineLevel="0" collapsed="false">
      <c r="A154" s="8" t="str">
        <f aca="false">'01 ADMIN_ORDER'!R6</f>
        <v>DRAFT - PERLU VERIFIKASI</v>
      </c>
      <c r="B154" s="8"/>
      <c r="C154" s="8"/>
      <c r="D154" s="8"/>
      <c r="E154" s="8"/>
      <c r="F154" s="8"/>
      <c r="G154" s="8"/>
      <c r="H154" s="8"/>
    </row>
    <row r="155" customFormat="false" ht="18" hidden="false" customHeight="true" outlineLevel="0" collapsed="false">
      <c r="A155" s="9" t="s">
        <v>247</v>
      </c>
      <c r="B155" s="9"/>
      <c r="C155" s="9"/>
      <c r="D155" s="9"/>
      <c r="E155" s="9"/>
      <c r="F155" s="9"/>
      <c r="G155" s="9"/>
      <c r="H155" s="9"/>
    </row>
    <row r="156" customFormat="false" ht="18" hidden="false" customHeight="true" outlineLevel="0" collapsed="false">
      <c r="A156" s="10" t="s">
        <v>248</v>
      </c>
      <c r="B156" s="10"/>
      <c r="C156" s="11" t="str">
        <f aca="false">'01 ADMIN_ORDER'!A6</f>
        <v>141/10/5 (59)</v>
      </c>
      <c r="D156" s="11"/>
      <c r="E156" s="11"/>
      <c r="F156" s="11"/>
      <c r="G156" s="11"/>
      <c r="H156" s="11"/>
    </row>
    <row r="157" customFormat="false" ht="18" hidden="false" customHeight="true" outlineLevel="0" collapsed="false">
      <c r="A157" s="10" t="s">
        <v>249</v>
      </c>
      <c r="B157" s="10"/>
      <c r="C157" s="12" t="str">
        <f aca="false">'01 ADMIN_ORDER'!C6&amp;" / "&amp;'01 ADMIN_ORDER'!D6</f>
        <v>FRONTCOURT LOW / LA6617</v>
      </c>
      <c r="D157" s="12"/>
      <c r="E157" s="12"/>
      <c r="F157" s="12"/>
      <c r="G157" s="12"/>
      <c r="H157" s="12"/>
    </row>
    <row r="158" customFormat="false" ht="18" hidden="false" customHeight="true" outlineLevel="0" collapsed="false">
      <c r="A158" s="10" t="s">
        <v>250</v>
      </c>
      <c r="B158" s="10"/>
      <c r="C158" s="12" t="str">
        <f aca="false">'01 ADMIN_ORDER'!E6</f>
        <v>903271565</v>
      </c>
      <c r="D158" s="12"/>
      <c r="E158" s="12"/>
      <c r="F158" s="12"/>
      <c r="G158" s="12"/>
      <c r="H158" s="12"/>
    </row>
    <row r="159" customFormat="false" ht="27.75" hidden="false" customHeight="true" outlineLevel="0" collapsed="false">
      <c r="A159" s="10" t="s">
        <v>251</v>
      </c>
      <c r="B159" s="10"/>
      <c r="C159" s="12" t="str">
        <f aca="false">'01 ADMIN_ORDER'!H6</f>
        <v>OLIVE TWO/OFF WHITE/OLIVE THREE</v>
      </c>
      <c r="D159" s="12"/>
      <c r="E159" s="12"/>
      <c r="F159" s="12"/>
      <c r="G159" s="12"/>
      <c r="H159" s="12"/>
    </row>
    <row r="160" customFormat="false" ht="18" hidden="false" customHeight="true" outlineLevel="0" collapsed="false">
      <c r="A160" s="10" t="s">
        <v>252</v>
      </c>
      <c r="B160" s="10"/>
      <c r="C160" s="12" t="str">
        <f aca="false">'01 ADMIN_ORDER'!B6&amp;" / "&amp;'01 ADMIN_ORDER'!G6</f>
        <v>A-19 / Morocco</v>
      </c>
      <c r="D160" s="12"/>
      <c r="E160" s="12"/>
      <c r="F160" s="12"/>
      <c r="G160" s="12"/>
      <c r="H160" s="12"/>
    </row>
    <row r="161" customFormat="false" ht="18" hidden="false" customHeight="true" outlineLevel="0" collapsed="false">
      <c r="A161" s="10" t="s">
        <v>253</v>
      </c>
      <c r="B161" s="10"/>
      <c r="C161" s="13" t="str">
        <f aca="false">'01 ADMIN_ORDER'!I6&amp;" / "&amp;IF('04 KESIAPAN'!B6="","UOM BELUM DIISI",'04 KESIAPAN'!B6)</f>
        <v>181 / UOM BELUM DIISI</v>
      </c>
      <c r="D161" s="13"/>
      <c r="E161" s="13"/>
      <c r="F161" s="13"/>
      <c r="G161" s="13"/>
      <c r="H161" s="13"/>
    </row>
    <row r="162" customFormat="false" ht="18" hidden="false" customHeight="true" outlineLevel="0" collapsed="false">
      <c r="A162" s="13" t="str">
        <f aca="false">IF('04 KESIAPAN'!C6="","SISTEM UKURAN BELUM DIISI",'04 KESIAPAN'!C6)&amp;" | Tanda -: "&amp;IF('04 KESIAPAN'!D6="","BELUM DIKONFIRMASI",'04 KESIAPAN'!D6)</f>
        <v>SISTEM UKURAN BELUM DIISI | Tanda -: BELUM DIKONFIRMASI</v>
      </c>
      <c r="B162" s="13"/>
      <c r="C162" s="13"/>
      <c r="D162" s="13"/>
      <c r="E162" s="13"/>
      <c r="F162" s="13"/>
      <c r="G162" s="13"/>
      <c r="H162" s="13"/>
    </row>
    <row r="163" customFormat="false" ht="18" hidden="false" customHeight="true" outlineLevel="0" collapsed="false">
      <c r="A163" s="7" t="s">
        <v>254</v>
      </c>
      <c r="B163" s="7"/>
      <c r="C163" s="7"/>
      <c r="D163" s="7"/>
      <c r="E163" s="7"/>
      <c r="F163" s="7"/>
      <c r="G163" s="7"/>
      <c r="H163" s="7"/>
    </row>
    <row r="164" customFormat="false" ht="18" hidden="false" customHeight="true" outlineLevel="0" collapsed="false">
      <c r="A164" s="14" t="s">
        <v>214</v>
      </c>
      <c r="B164" s="0" t="n">
        <f aca="false">'02 SIZE_RUN'!D6</f>
        <v>0</v>
      </c>
      <c r="C164" s="14" t="s">
        <v>215</v>
      </c>
      <c r="D164" s="0" t="n">
        <f aca="false">'02 SIZE_RUN'!E6</f>
        <v>0</v>
      </c>
      <c r="E164" s="14" t="s">
        <v>216</v>
      </c>
      <c r="F164" s="0" t="n">
        <f aca="false">'02 SIZE_RUN'!F6</f>
        <v>0</v>
      </c>
      <c r="G164" s="14" t="s">
        <v>217</v>
      </c>
      <c r="H164" s="0" t="n">
        <f aca="false">'02 SIZE_RUN'!G6</f>
        <v>0</v>
      </c>
    </row>
    <row r="165" customFormat="false" ht="18" hidden="false" customHeight="true" outlineLevel="0" collapsed="false">
      <c r="A165" s="14" t="s">
        <v>218</v>
      </c>
      <c r="B165" s="0" t="n">
        <f aca="false">'02 SIZE_RUN'!H6</f>
        <v>0</v>
      </c>
      <c r="C165" s="14" t="s">
        <v>219</v>
      </c>
      <c r="D165" s="0" t="n">
        <f aca="false">'02 SIZE_RUN'!I6</f>
        <v>0</v>
      </c>
      <c r="E165" s="14" t="s">
        <v>220</v>
      </c>
      <c r="F165" s="0" t="n">
        <f aca="false">'02 SIZE_RUN'!J6</f>
        <v>2</v>
      </c>
      <c r="G165" s="14" t="s">
        <v>221</v>
      </c>
      <c r="H165" s="0" t="n">
        <f aca="false">'02 SIZE_RUN'!K6</f>
        <v>2</v>
      </c>
    </row>
    <row r="166" customFormat="false" ht="18" hidden="false" customHeight="true" outlineLevel="0" collapsed="false">
      <c r="A166" s="14" t="s">
        <v>222</v>
      </c>
      <c r="B166" s="0" t="n">
        <f aca="false">'02 SIZE_RUN'!L6</f>
        <v>7</v>
      </c>
      <c r="C166" s="14" t="s">
        <v>223</v>
      </c>
      <c r="D166" s="0" t="n">
        <f aca="false">'02 SIZE_RUN'!M6</f>
        <v>15</v>
      </c>
      <c r="E166" s="14" t="s">
        <v>224</v>
      </c>
      <c r="F166" s="0" t="n">
        <f aca="false">'02 SIZE_RUN'!N6</f>
        <v>32</v>
      </c>
      <c r="G166" s="14" t="s">
        <v>225</v>
      </c>
      <c r="H166" s="0" t="n">
        <f aca="false">'02 SIZE_RUN'!O6</f>
        <v>24</v>
      </c>
    </row>
    <row r="167" customFormat="false" ht="18" hidden="false" customHeight="true" outlineLevel="0" collapsed="false">
      <c r="A167" s="14" t="s">
        <v>226</v>
      </c>
      <c r="B167" s="0" t="n">
        <f aca="false">'02 SIZE_RUN'!P6</f>
        <v>33</v>
      </c>
      <c r="C167" s="14" t="s">
        <v>227</v>
      </c>
      <c r="D167" s="0" t="n">
        <f aca="false">'02 SIZE_RUN'!Q6</f>
        <v>22</v>
      </c>
      <c r="E167" s="14" t="s">
        <v>228</v>
      </c>
      <c r="F167" s="0" t="n">
        <f aca="false">'02 SIZE_RUN'!R6</f>
        <v>14</v>
      </c>
      <c r="G167" s="14" t="s">
        <v>229</v>
      </c>
      <c r="H167" s="0" t="n">
        <f aca="false">'02 SIZE_RUN'!S6</f>
        <v>14</v>
      </c>
    </row>
    <row r="168" customFormat="false" ht="18" hidden="false" customHeight="true" outlineLevel="0" collapsed="false">
      <c r="A168" s="14" t="s">
        <v>230</v>
      </c>
      <c r="B168" s="0" t="n">
        <f aca="false">'02 SIZE_RUN'!T6</f>
        <v>7</v>
      </c>
      <c r="C168" s="14" t="s">
        <v>231</v>
      </c>
      <c r="D168" s="0" t="n">
        <f aca="false">'02 SIZE_RUN'!U6</f>
        <v>2</v>
      </c>
      <c r="E168" s="14" t="s">
        <v>232</v>
      </c>
      <c r="F168" s="0" t="n">
        <f aca="false">'02 SIZE_RUN'!V6</f>
        <v>7</v>
      </c>
      <c r="G168" s="14" t="s">
        <v>233</v>
      </c>
      <c r="H168" s="0" t="n">
        <f aca="false">'02 SIZE_RUN'!W6</f>
        <v>0</v>
      </c>
    </row>
    <row r="169" customFormat="false" ht="18" hidden="false" customHeight="true" outlineLevel="0" collapsed="false">
      <c r="A169" s="14" t="s">
        <v>234</v>
      </c>
      <c r="B169" s="0" t="n">
        <f aca="false">'02 SIZE_RUN'!X6</f>
        <v>0</v>
      </c>
      <c r="C169" s="14" t="s">
        <v>235</v>
      </c>
      <c r="D169" s="0" t="n">
        <f aca="false">'02 SIZE_RUN'!Y6</f>
        <v>0</v>
      </c>
      <c r="E169" s="14" t="s">
        <v>236</v>
      </c>
      <c r="F169" s="0" t="n">
        <f aca="false">'02 SIZE_RUN'!Z6</f>
        <v>0</v>
      </c>
      <c r="G169" s="14" t="s">
        <v>237</v>
      </c>
      <c r="H169" s="0" t="n">
        <f aca="false">'02 SIZE_RUN'!AA6</f>
        <v>0</v>
      </c>
    </row>
    <row r="170" customFormat="false" ht="18" hidden="false" customHeight="true" outlineLevel="0" collapsed="false">
      <c r="A170" s="14" t="s">
        <v>238</v>
      </c>
      <c r="B170" s="0" t="n">
        <f aca="false">'02 SIZE_RUN'!AB6</f>
        <v>0</v>
      </c>
      <c r="C170" s="14" t="s">
        <v>239</v>
      </c>
      <c r="D170" s="0" t="n">
        <f aca="false">'02 SIZE_RUN'!AC6</f>
        <v>0</v>
      </c>
      <c r="E170" s="14" t="s">
        <v>240</v>
      </c>
      <c r="F170" s="0" t="n">
        <f aca="false">'02 SIZE_RUN'!AD6</f>
        <v>0</v>
      </c>
      <c r="G170" s="14" t="s">
        <v>241</v>
      </c>
      <c r="H170" s="0" t="n">
        <f aca="false">'02 SIZE_RUN'!AE6</f>
        <v>0</v>
      </c>
    </row>
    <row r="171" customFormat="false" ht="18" hidden="false" customHeight="true" outlineLevel="0" collapsed="false">
      <c r="A171" s="14" t="s">
        <v>242</v>
      </c>
      <c r="B171" s="0" t="n">
        <f aca="false">'02 SIZE_RUN'!AF6</f>
        <v>0</v>
      </c>
    </row>
    <row r="172" customFormat="false" ht="18" hidden="false" customHeight="true" outlineLevel="0" collapsed="false">
      <c r="A172" s="10" t="str">
        <f aca="false">"TOTAL SIZE: "&amp;'02 SIZE_RUN'!AG6&amp;" | SELISIH: "&amp;'02 SIZE_RUN'!AH6</f>
        <v>TOTAL SIZE: 181 | SELISIH: 0</v>
      </c>
      <c r="B172" s="10"/>
      <c r="C172" s="10"/>
      <c r="D172" s="10"/>
      <c r="E172" s="10"/>
      <c r="F172" s="10"/>
      <c r="G172" s="10"/>
      <c r="H172" s="10"/>
    </row>
    <row r="173" customFormat="false" ht="18" hidden="false" customHeight="true" outlineLevel="0" collapsed="false">
      <c r="A173" s="10" t="s">
        <v>255</v>
      </c>
      <c r="B173" s="10"/>
      <c r="C173" s="10"/>
      <c r="D173" s="13" t="str">
        <f aca="false">IF('01 ADMIN_ORDER'!P6="","BELUM DITETAPKAN",TEXT('01 ADMIN_ORDER'!P6,"dd mmm yyyy"))</f>
        <v>BELUM DITETAPKAN</v>
      </c>
      <c r="E173" s="13"/>
      <c r="F173" s="13"/>
      <c r="G173" s="13"/>
      <c r="H173" s="13"/>
    </row>
    <row r="174" customFormat="false" ht="18" hidden="false" customHeight="true" outlineLevel="0" collapsed="false">
      <c r="A174" s="10" t="s">
        <v>256</v>
      </c>
      <c r="B174" s="10"/>
      <c r="C174" s="10"/>
      <c r="D174" s="13" t="str">
        <f aca="false">IF('01 ADMIN_ORDER'!Q6="","BELUM DITETAPKAN",TEXT('01 ADMIN_ORDER'!Q6,"dd mmm yyyy"))</f>
        <v>BELUM DITETAPKAN</v>
      </c>
      <c r="E174" s="13"/>
      <c r="F174" s="13"/>
      <c r="G174" s="13"/>
      <c r="H174" s="13"/>
    </row>
    <row r="175" customFormat="false" ht="25.5" hidden="false" customHeight="true" outlineLevel="0" collapsed="false">
      <c r="A175" s="12" t="str">
        <f aca="false">"REFERENSI ASSEMBLY (bukan target upper): "&amp;TEXT('01 ADMIN_ORDER'!M6,"dd mmm yyyy")&amp;" - "&amp;TEXT('01 ADMIN_ORDER'!N6,"dd mmm yyyy")</f>
        <v>REFERENSI ASSEMBLY (bukan target upper): 28 Sep 2026 - 28 Sep 2026</v>
      </c>
      <c r="B175" s="12"/>
      <c r="C175" s="12"/>
      <c r="D175" s="12"/>
      <c r="E175" s="12"/>
      <c r="F175" s="12"/>
      <c r="G175" s="12"/>
      <c r="H175" s="12"/>
    </row>
    <row r="176" customFormat="false" ht="18" hidden="false" customHeight="true" outlineLevel="0" collapsed="false">
      <c r="A176" s="10" t="s">
        <v>257</v>
      </c>
      <c r="B176" s="10"/>
      <c r="C176" s="10"/>
      <c r="D176" s="13" t="str">
        <f aca="false">IF('04 KESIAPAN'!G6="","BELUM DIISI",'04 KESIAPAN'!G6)</f>
        <v>BELUM DIISI</v>
      </c>
      <c r="E176" s="13"/>
      <c r="F176" s="13"/>
      <c r="G176" s="13"/>
      <c r="H176" s="13"/>
    </row>
    <row r="177" customFormat="false" ht="18" hidden="false" customHeight="true" outlineLevel="0" collapsed="false">
      <c r="A177" s="10" t="s">
        <v>258</v>
      </c>
      <c r="B177" s="10"/>
      <c r="C177" s="10"/>
      <c r="D177" s="13" t="str">
        <f aca="false">IF('04 KESIAPAN'!H6="","BELUM DIISI",'04 KESIAPAN'!H6)</f>
        <v>BELUM DIISI</v>
      </c>
      <c r="E177" s="13"/>
      <c r="F177" s="13"/>
      <c r="G177" s="13"/>
      <c r="H177" s="13"/>
    </row>
    <row r="178" customFormat="false" ht="18" hidden="false" customHeight="true" outlineLevel="0" collapsed="false">
      <c r="A178" s="10" t="s">
        <v>259</v>
      </c>
      <c r="B178" s="10"/>
      <c r="C178" s="10"/>
      <c r="D178" s="13" t="str">
        <f aca="false">IF('04 KESIAPAN'!I6="","BELUM DIISI",'04 KESIAPAN'!I6)</f>
        <v>BELUM DIISI</v>
      </c>
      <c r="E178" s="13"/>
      <c r="F178" s="13"/>
      <c r="G178" s="13"/>
      <c r="H178" s="13"/>
    </row>
    <row r="179" customFormat="false" ht="18" hidden="false" customHeight="true" outlineLevel="0" collapsed="false">
      <c r="A179" s="10" t="s">
        <v>260</v>
      </c>
      <c r="B179" s="10"/>
      <c r="C179" s="10"/>
      <c r="D179" s="13" t="str">
        <f aca="false">IF('04 KESIAPAN'!K6="","BELUM DIISI",'04 KESIAPAN'!K6)</f>
        <v>BELUM DIISI</v>
      </c>
      <c r="E179" s="13"/>
      <c r="F179" s="13"/>
      <c r="G179" s="13"/>
      <c r="H179" s="13"/>
    </row>
    <row r="180" customFormat="false" ht="18" hidden="false" customHeight="true" outlineLevel="0" collapsed="false">
      <c r="A180" s="10" t="s">
        <v>261</v>
      </c>
      <c r="B180" s="10"/>
      <c r="C180" s="10"/>
      <c r="D180" s="13" t="str">
        <f aca="false">IF('04 KESIAPAN'!L6="","BELUM DIISI",'04 KESIAPAN'!L6)</f>
        <v>BELUM DIISI</v>
      </c>
      <c r="E180" s="13"/>
      <c r="F180" s="13"/>
      <c r="G180" s="13"/>
      <c r="H180" s="13"/>
    </row>
    <row r="181" customFormat="false" ht="18" hidden="false" customHeight="true" outlineLevel="0" collapsed="false">
      <c r="A181" s="10" t="s">
        <v>262</v>
      </c>
      <c r="B181" s="10"/>
      <c r="C181" s="10"/>
      <c r="D181" s="13" t="str">
        <f aca="false">IF('04 KESIAPAN'!N6="","BELUM DIISI",'04 KESIAPAN'!N6)</f>
        <v>BELUM DIISI</v>
      </c>
      <c r="E181" s="13"/>
      <c r="F181" s="13"/>
      <c r="G181" s="13"/>
      <c r="H181" s="13"/>
    </row>
    <row r="182" customFormat="false" ht="18" hidden="false" customHeight="true" outlineLevel="0" collapsed="false">
      <c r="A182" s="10" t="s">
        <v>263</v>
      </c>
      <c r="B182" s="10"/>
      <c r="C182" s="10"/>
      <c r="D182" s="13" t="str">
        <f aca="false">IF('04 KESIAPAN'!P6="","BELUM DIISI",'04 KESIAPAN'!P6)</f>
        <v>BELUM DIISI</v>
      </c>
      <c r="E182" s="13"/>
      <c r="F182" s="13"/>
      <c r="G182" s="13"/>
      <c r="H182" s="13"/>
    </row>
    <row r="183" customFormat="false" ht="18" hidden="false" customHeight="true" outlineLevel="0" collapsed="false">
      <c r="A183" s="7" t="s">
        <v>264</v>
      </c>
      <c r="B183" s="7"/>
      <c r="C183" s="7"/>
      <c r="D183" s="7"/>
      <c r="E183" s="7"/>
      <c r="F183" s="7"/>
      <c r="G183" s="7"/>
      <c r="H183" s="7"/>
    </row>
    <row r="184" customFormat="false" ht="18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</row>
    <row r="185" customFormat="false" ht="18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</row>
    <row r="186" customFormat="false" ht="18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</row>
    <row r="187" customFormat="false" ht="18" hidden="false" customHeight="true" outlineLevel="0" collapsed="false">
      <c r="A187" s="12" t="s">
        <v>265</v>
      </c>
      <c r="B187" s="12"/>
      <c r="C187" s="12"/>
      <c r="D187" s="12"/>
      <c r="E187" s="12" t="s">
        <v>266</v>
      </c>
      <c r="F187" s="12"/>
      <c r="G187" s="12"/>
      <c r="H187" s="12"/>
    </row>
    <row r="188" customFormat="false" ht="18" hidden="false" customHeight="true" outlineLevel="0" collapsed="false">
      <c r="A188" s="12" t="s">
        <v>271</v>
      </c>
      <c r="B188" s="12"/>
      <c r="C188" s="12"/>
      <c r="D188" s="12"/>
      <c r="E188" s="12"/>
      <c r="F188" s="12"/>
      <c r="G188" s="12"/>
      <c r="H188" s="12"/>
    </row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25.5" hidden="false" customHeight="true" outlineLevel="0" collapsed="false">
      <c r="A191" s="7" t="s">
        <v>246</v>
      </c>
      <c r="B191" s="7"/>
      <c r="C191" s="7"/>
      <c r="D191" s="7"/>
      <c r="E191" s="7"/>
      <c r="F191" s="7"/>
      <c r="G191" s="7"/>
      <c r="H191" s="7"/>
    </row>
    <row r="192" customFormat="false" ht="18" hidden="false" customHeight="true" outlineLevel="0" collapsed="false">
      <c r="A192" s="8" t="str">
        <f aca="false">'01 ADMIN_ORDER'!R7</f>
        <v>DRAFT - PERLU VERIFIKASI</v>
      </c>
      <c r="B192" s="8"/>
      <c r="C192" s="8"/>
      <c r="D192" s="8"/>
      <c r="E192" s="8"/>
      <c r="F192" s="8"/>
      <c r="G192" s="8"/>
      <c r="H192" s="8"/>
    </row>
    <row r="193" customFormat="false" ht="18" hidden="false" customHeight="true" outlineLevel="0" collapsed="false">
      <c r="A193" s="9" t="s">
        <v>247</v>
      </c>
      <c r="B193" s="9"/>
      <c r="C193" s="9"/>
      <c r="D193" s="9"/>
      <c r="E193" s="9"/>
      <c r="F193" s="9"/>
      <c r="G193" s="9"/>
      <c r="H193" s="9"/>
    </row>
    <row r="194" customFormat="false" ht="18" hidden="false" customHeight="true" outlineLevel="0" collapsed="false">
      <c r="A194" s="10" t="s">
        <v>248</v>
      </c>
      <c r="B194" s="10"/>
      <c r="C194" s="11" t="str">
        <f aca="false">'01 ADMIN_ORDER'!A7</f>
        <v>142/10/6 (59)</v>
      </c>
      <c r="D194" s="11"/>
      <c r="E194" s="11"/>
      <c r="F194" s="11"/>
      <c r="G194" s="11"/>
      <c r="H194" s="11"/>
    </row>
    <row r="195" customFormat="false" ht="18" hidden="false" customHeight="true" outlineLevel="0" collapsed="false">
      <c r="A195" s="10" t="s">
        <v>249</v>
      </c>
      <c r="B195" s="10"/>
      <c r="C195" s="12" t="str">
        <f aca="false">'01 ADMIN_ORDER'!C7&amp;" / "&amp;'01 ADMIN_ORDER'!D7</f>
        <v>FRONTCOURT LOW / LA6617</v>
      </c>
      <c r="D195" s="12"/>
      <c r="E195" s="12"/>
      <c r="F195" s="12"/>
      <c r="G195" s="12"/>
      <c r="H195" s="12"/>
    </row>
    <row r="196" customFormat="false" ht="18" hidden="false" customHeight="true" outlineLevel="0" collapsed="false">
      <c r="A196" s="10" t="s">
        <v>250</v>
      </c>
      <c r="B196" s="10"/>
      <c r="C196" s="12" t="str">
        <f aca="false">'01 ADMIN_ORDER'!E7</f>
        <v>903271565 (FGT)</v>
      </c>
      <c r="D196" s="12"/>
      <c r="E196" s="12"/>
      <c r="F196" s="12"/>
      <c r="G196" s="12"/>
      <c r="H196" s="12"/>
    </row>
    <row r="197" customFormat="false" ht="27.75" hidden="false" customHeight="true" outlineLevel="0" collapsed="false">
      <c r="A197" s="10" t="s">
        <v>251</v>
      </c>
      <c r="B197" s="10"/>
      <c r="C197" s="12" t="str">
        <f aca="false">'01 ADMIN_ORDER'!H7</f>
        <v>OLIVE TWO/OFF WHITE/OLIVE THREE</v>
      </c>
      <c r="D197" s="12"/>
      <c r="E197" s="12"/>
      <c r="F197" s="12"/>
      <c r="G197" s="12"/>
      <c r="H197" s="12"/>
    </row>
    <row r="198" customFormat="false" ht="18" hidden="false" customHeight="true" outlineLevel="0" collapsed="false">
      <c r="A198" s="10" t="s">
        <v>252</v>
      </c>
      <c r="B198" s="10"/>
      <c r="C198" s="12" t="str">
        <f aca="false">'01 ADMIN_ORDER'!B7&amp;" / "&amp;'01 ADMIN_ORDER'!G7</f>
        <v>A-19 / Morocco</v>
      </c>
      <c r="D198" s="12"/>
      <c r="E198" s="12"/>
      <c r="F198" s="12"/>
      <c r="G198" s="12"/>
      <c r="H198" s="12"/>
    </row>
    <row r="199" customFormat="false" ht="18" hidden="false" customHeight="true" outlineLevel="0" collapsed="false">
      <c r="A199" s="10" t="s">
        <v>253</v>
      </c>
      <c r="B199" s="10"/>
      <c r="C199" s="13" t="str">
        <f aca="false">'01 ADMIN_ORDER'!I7&amp;" / "&amp;IF('04 KESIAPAN'!B7="","UOM BELUM DIISI",'04 KESIAPAN'!B7)</f>
        <v>9 / UOM BELUM DIISI</v>
      </c>
      <c r="D199" s="13"/>
      <c r="E199" s="13"/>
      <c r="F199" s="13"/>
      <c r="G199" s="13"/>
      <c r="H199" s="13"/>
    </row>
    <row r="200" customFormat="false" ht="18" hidden="false" customHeight="true" outlineLevel="0" collapsed="false">
      <c r="A200" s="13" t="str">
        <f aca="false">IF('04 KESIAPAN'!C7="","SISTEM UKURAN BELUM DIISI",'04 KESIAPAN'!C7)&amp;" | Tanda -: "&amp;IF('04 KESIAPAN'!D7="","BELUM DIKONFIRMASI",'04 KESIAPAN'!D7)</f>
        <v>SISTEM UKURAN BELUM DIISI | Tanda -: BELUM DIKONFIRMASI</v>
      </c>
      <c r="B200" s="13"/>
      <c r="C200" s="13"/>
      <c r="D200" s="13"/>
      <c r="E200" s="13"/>
      <c r="F200" s="13"/>
      <c r="G200" s="13"/>
      <c r="H200" s="13"/>
    </row>
    <row r="201" customFormat="false" ht="18" hidden="false" customHeight="true" outlineLevel="0" collapsed="false">
      <c r="A201" s="7" t="s">
        <v>254</v>
      </c>
      <c r="B201" s="7"/>
      <c r="C201" s="7"/>
      <c r="D201" s="7"/>
      <c r="E201" s="7"/>
      <c r="F201" s="7"/>
      <c r="G201" s="7"/>
      <c r="H201" s="7"/>
    </row>
    <row r="202" customFormat="false" ht="18" hidden="false" customHeight="true" outlineLevel="0" collapsed="false">
      <c r="A202" s="14" t="s">
        <v>214</v>
      </c>
      <c r="B202" s="0" t="n">
        <f aca="false">'02 SIZE_RUN'!D7</f>
        <v>0</v>
      </c>
      <c r="C202" s="14" t="s">
        <v>215</v>
      </c>
      <c r="D202" s="0" t="n">
        <f aca="false">'02 SIZE_RUN'!E7</f>
        <v>0</v>
      </c>
      <c r="E202" s="14" t="s">
        <v>216</v>
      </c>
      <c r="F202" s="0" t="n">
        <f aca="false">'02 SIZE_RUN'!F7</f>
        <v>0</v>
      </c>
      <c r="G202" s="14" t="s">
        <v>217</v>
      </c>
      <c r="H202" s="0" t="n">
        <f aca="false">'02 SIZE_RUN'!G7</f>
        <v>0</v>
      </c>
    </row>
    <row r="203" customFormat="false" ht="18" hidden="false" customHeight="true" outlineLevel="0" collapsed="false">
      <c r="A203" s="14" t="s">
        <v>218</v>
      </c>
      <c r="B203" s="0" t="n">
        <f aca="false">'02 SIZE_RUN'!H7</f>
        <v>0</v>
      </c>
      <c r="C203" s="14" t="s">
        <v>219</v>
      </c>
      <c r="D203" s="0" t="n">
        <f aca="false">'02 SIZE_RUN'!I7</f>
        <v>0</v>
      </c>
      <c r="E203" s="14" t="s">
        <v>220</v>
      </c>
      <c r="F203" s="0" t="n">
        <f aca="false">'02 SIZE_RUN'!J7</f>
        <v>0</v>
      </c>
      <c r="G203" s="14" t="s">
        <v>221</v>
      </c>
      <c r="H203" s="0" t="n">
        <f aca="false">'02 SIZE_RUN'!K7</f>
        <v>0</v>
      </c>
    </row>
    <row r="204" customFormat="false" ht="18" hidden="false" customHeight="true" outlineLevel="0" collapsed="false">
      <c r="A204" s="14" t="s">
        <v>222</v>
      </c>
      <c r="B204" s="0" t="n">
        <f aca="false">'02 SIZE_RUN'!L7</f>
        <v>0</v>
      </c>
      <c r="C204" s="14" t="s">
        <v>223</v>
      </c>
      <c r="D204" s="0" t="n">
        <f aca="false">'02 SIZE_RUN'!M7</f>
        <v>0</v>
      </c>
      <c r="E204" s="14" t="s">
        <v>224</v>
      </c>
      <c r="F204" s="0" t="n">
        <f aca="false">'02 SIZE_RUN'!N7</f>
        <v>0</v>
      </c>
      <c r="G204" s="14" t="s">
        <v>225</v>
      </c>
      <c r="H204" s="0" t="n">
        <f aca="false">'02 SIZE_RUN'!O7</f>
        <v>9</v>
      </c>
    </row>
    <row r="205" customFormat="false" ht="18" hidden="false" customHeight="true" outlineLevel="0" collapsed="false">
      <c r="A205" s="14" t="s">
        <v>226</v>
      </c>
      <c r="B205" s="0" t="n">
        <f aca="false">'02 SIZE_RUN'!P7</f>
        <v>0</v>
      </c>
      <c r="C205" s="14" t="s">
        <v>227</v>
      </c>
      <c r="D205" s="0" t="n">
        <f aca="false">'02 SIZE_RUN'!Q7</f>
        <v>0</v>
      </c>
      <c r="E205" s="14" t="s">
        <v>228</v>
      </c>
      <c r="F205" s="0" t="n">
        <f aca="false">'02 SIZE_RUN'!R7</f>
        <v>0</v>
      </c>
      <c r="G205" s="14" t="s">
        <v>229</v>
      </c>
      <c r="H205" s="0" t="n">
        <f aca="false">'02 SIZE_RUN'!S7</f>
        <v>0</v>
      </c>
    </row>
    <row r="206" customFormat="false" ht="18" hidden="false" customHeight="true" outlineLevel="0" collapsed="false">
      <c r="A206" s="14" t="s">
        <v>230</v>
      </c>
      <c r="B206" s="0" t="n">
        <f aca="false">'02 SIZE_RUN'!T7</f>
        <v>0</v>
      </c>
      <c r="C206" s="14" t="s">
        <v>231</v>
      </c>
      <c r="D206" s="0" t="n">
        <f aca="false">'02 SIZE_RUN'!U7</f>
        <v>0</v>
      </c>
      <c r="E206" s="14" t="s">
        <v>232</v>
      </c>
      <c r="F206" s="0" t="n">
        <f aca="false">'02 SIZE_RUN'!V7</f>
        <v>0</v>
      </c>
      <c r="G206" s="14" t="s">
        <v>233</v>
      </c>
      <c r="H206" s="0" t="n">
        <f aca="false">'02 SIZE_RUN'!W7</f>
        <v>0</v>
      </c>
    </row>
    <row r="207" customFormat="false" ht="18" hidden="false" customHeight="true" outlineLevel="0" collapsed="false">
      <c r="A207" s="14" t="s">
        <v>234</v>
      </c>
      <c r="B207" s="0" t="n">
        <f aca="false">'02 SIZE_RUN'!X7</f>
        <v>0</v>
      </c>
      <c r="C207" s="14" t="s">
        <v>235</v>
      </c>
      <c r="D207" s="0" t="n">
        <f aca="false">'02 SIZE_RUN'!Y7</f>
        <v>0</v>
      </c>
      <c r="E207" s="14" t="s">
        <v>236</v>
      </c>
      <c r="F207" s="0" t="n">
        <f aca="false">'02 SIZE_RUN'!Z7</f>
        <v>0</v>
      </c>
      <c r="G207" s="14" t="s">
        <v>237</v>
      </c>
      <c r="H207" s="0" t="n">
        <f aca="false">'02 SIZE_RUN'!AA7</f>
        <v>0</v>
      </c>
    </row>
    <row r="208" customFormat="false" ht="18" hidden="false" customHeight="true" outlineLevel="0" collapsed="false">
      <c r="A208" s="14" t="s">
        <v>238</v>
      </c>
      <c r="B208" s="0" t="n">
        <f aca="false">'02 SIZE_RUN'!AB7</f>
        <v>0</v>
      </c>
      <c r="C208" s="14" t="s">
        <v>239</v>
      </c>
      <c r="D208" s="0" t="n">
        <f aca="false">'02 SIZE_RUN'!AC7</f>
        <v>0</v>
      </c>
      <c r="E208" s="14" t="s">
        <v>240</v>
      </c>
      <c r="F208" s="0" t="n">
        <f aca="false">'02 SIZE_RUN'!AD7</f>
        <v>0</v>
      </c>
      <c r="G208" s="14" t="s">
        <v>241</v>
      </c>
      <c r="H208" s="0" t="n">
        <f aca="false">'02 SIZE_RUN'!AE7</f>
        <v>0</v>
      </c>
    </row>
    <row r="209" customFormat="false" ht="18" hidden="false" customHeight="true" outlineLevel="0" collapsed="false">
      <c r="A209" s="14" t="s">
        <v>242</v>
      </c>
      <c r="B209" s="0" t="n">
        <f aca="false">'02 SIZE_RUN'!AF7</f>
        <v>0</v>
      </c>
    </row>
    <row r="210" customFormat="false" ht="18" hidden="false" customHeight="true" outlineLevel="0" collapsed="false">
      <c r="A210" s="10" t="str">
        <f aca="false">"TOTAL SIZE: "&amp;'02 SIZE_RUN'!AG7&amp;" | SELISIH: "&amp;'02 SIZE_RUN'!AH7</f>
        <v>TOTAL SIZE: 9 | SELISIH: 0</v>
      </c>
      <c r="B210" s="10"/>
      <c r="C210" s="10"/>
      <c r="D210" s="10"/>
      <c r="E210" s="10"/>
      <c r="F210" s="10"/>
      <c r="G210" s="10"/>
      <c r="H210" s="10"/>
    </row>
    <row r="211" customFormat="false" ht="18" hidden="false" customHeight="true" outlineLevel="0" collapsed="false">
      <c r="A211" s="10" t="s">
        <v>255</v>
      </c>
      <c r="B211" s="10"/>
      <c r="C211" s="10"/>
      <c r="D211" s="13" t="str">
        <f aca="false">IF('01 ADMIN_ORDER'!P7="","BELUM DITETAPKAN",TEXT('01 ADMIN_ORDER'!P7,"dd mmm yyyy"))</f>
        <v>BELUM DITETAPKAN</v>
      </c>
      <c r="E211" s="13"/>
      <c r="F211" s="13"/>
      <c r="G211" s="13"/>
      <c r="H211" s="13"/>
    </row>
    <row r="212" customFormat="false" ht="18" hidden="false" customHeight="true" outlineLevel="0" collapsed="false">
      <c r="A212" s="10" t="s">
        <v>256</v>
      </c>
      <c r="B212" s="10"/>
      <c r="C212" s="10"/>
      <c r="D212" s="13" t="str">
        <f aca="false">IF('01 ADMIN_ORDER'!Q7="","BELUM DITETAPKAN",TEXT('01 ADMIN_ORDER'!Q7,"dd mmm yyyy"))</f>
        <v>BELUM DITETAPKAN</v>
      </c>
      <c r="E212" s="13"/>
      <c r="F212" s="13"/>
      <c r="G212" s="13"/>
      <c r="H212" s="13"/>
    </row>
    <row r="213" customFormat="false" ht="25.5" hidden="false" customHeight="true" outlineLevel="0" collapsed="false">
      <c r="A213" s="12" t="str">
        <f aca="false">"REFERENSI ASSEMBLY (bukan target upper): "&amp;TEXT('01 ADMIN_ORDER'!M7,"dd mmm yyyy")&amp;" - "&amp;TEXT('01 ADMIN_ORDER'!N7,"dd mmm yyyy")</f>
        <v>REFERENSI ASSEMBLY (bukan target upper): 28 Sep 2026 - 28 Sep 2026</v>
      </c>
      <c r="B213" s="12"/>
      <c r="C213" s="12"/>
      <c r="D213" s="12"/>
      <c r="E213" s="12"/>
      <c r="F213" s="12"/>
      <c r="G213" s="12"/>
      <c r="H213" s="12"/>
    </row>
    <row r="214" customFormat="false" ht="18" hidden="false" customHeight="true" outlineLevel="0" collapsed="false">
      <c r="A214" s="10" t="s">
        <v>257</v>
      </c>
      <c r="B214" s="10"/>
      <c r="C214" s="10"/>
      <c r="D214" s="13" t="str">
        <f aca="false">IF('04 KESIAPAN'!G7="","BELUM DIISI",'04 KESIAPAN'!G7)</f>
        <v>BELUM DIISI</v>
      </c>
      <c r="E214" s="13"/>
      <c r="F214" s="13"/>
      <c r="G214" s="13"/>
      <c r="H214" s="13"/>
    </row>
    <row r="215" customFormat="false" ht="18" hidden="false" customHeight="true" outlineLevel="0" collapsed="false">
      <c r="A215" s="10" t="s">
        <v>258</v>
      </c>
      <c r="B215" s="10"/>
      <c r="C215" s="10"/>
      <c r="D215" s="13" t="str">
        <f aca="false">IF('04 KESIAPAN'!H7="","BELUM DIISI",'04 KESIAPAN'!H7)</f>
        <v>BELUM DIISI</v>
      </c>
      <c r="E215" s="13"/>
      <c r="F215" s="13"/>
      <c r="G215" s="13"/>
      <c r="H215" s="13"/>
    </row>
    <row r="216" customFormat="false" ht="18" hidden="false" customHeight="true" outlineLevel="0" collapsed="false">
      <c r="A216" s="10" t="s">
        <v>259</v>
      </c>
      <c r="B216" s="10"/>
      <c r="C216" s="10"/>
      <c r="D216" s="13" t="str">
        <f aca="false">IF('04 KESIAPAN'!I7="","BELUM DIISI",'04 KESIAPAN'!I7)</f>
        <v>BELUM DIISI</v>
      </c>
      <c r="E216" s="13"/>
      <c r="F216" s="13"/>
      <c r="G216" s="13"/>
      <c r="H216" s="13"/>
    </row>
    <row r="217" customFormat="false" ht="18" hidden="false" customHeight="true" outlineLevel="0" collapsed="false">
      <c r="A217" s="10" t="s">
        <v>260</v>
      </c>
      <c r="B217" s="10"/>
      <c r="C217" s="10"/>
      <c r="D217" s="13" t="str">
        <f aca="false">IF('04 KESIAPAN'!K7="","BELUM DIISI",'04 KESIAPAN'!K7)</f>
        <v>BELUM DIISI</v>
      </c>
      <c r="E217" s="13"/>
      <c r="F217" s="13"/>
      <c r="G217" s="13"/>
      <c r="H217" s="13"/>
    </row>
    <row r="218" customFormat="false" ht="18" hidden="false" customHeight="true" outlineLevel="0" collapsed="false">
      <c r="A218" s="10" t="s">
        <v>261</v>
      </c>
      <c r="B218" s="10"/>
      <c r="C218" s="10"/>
      <c r="D218" s="13" t="str">
        <f aca="false">IF('04 KESIAPAN'!L7="","BELUM DIISI",'04 KESIAPAN'!L7)</f>
        <v>BELUM DIISI</v>
      </c>
      <c r="E218" s="13"/>
      <c r="F218" s="13"/>
      <c r="G218" s="13"/>
      <c r="H218" s="13"/>
    </row>
    <row r="219" customFormat="false" ht="18" hidden="false" customHeight="true" outlineLevel="0" collapsed="false">
      <c r="A219" s="10" t="s">
        <v>262</v>
      </c>
      <c r="B219" s="10"/>
      <c r="C219" s="10"/>
      <c r="D219" s="13" t="str">
        <f aca="false">IF('04 KESIAPAN'!N7="","BELUM DIISI",'04 KESIAPAN'!N7)</f>
        <v>BELUM DIISI</v>
      </c>
      <c r="E219" s="13"/>
      <c r="F219" s="13"/>
      <c r="G219" s="13"/>
      <c r="H219" s="13"/>
    </row>
    <row r="220" customFormat="false" ht="18" hidden="false" customHeight="true" outlineLevel="0" collapsed="false">
      <c r="A220" s="10" t="s">
        <v>263</v>
      </c>
      <c r="B220" s="10"/>
      <c r="C220" s="10"/>
      <c r="D220" s="13" t="str">
        <f aca="false">IF('04 KESIAPAN'!P7="","BELUM DIISI",'04 KESIAPAN'!P7)</f>
        <v>BELUM DIISI</v>
      </c>
      <c r="E220" s="13"/>
      <c r="F220" s="13"/>
      <c r="G220" s="13"/>
      <c r="H220" s="13"/>
    </row>
    <row r="221" customFormat="false" ht="18" hidden="false" customHeight="true" outlineLevel="0" collapsed="false">
      <c r="A221" s="7" t="s">
        <v>264</v>
      </c>
      <c r="B221" s="7"/>
      <c r="C221" s="7"/>
      <c r="D221" s="7"/>
      <c r="E221" s="7"/>
      <c r="F221" s="7"/>
      <c r="G221" s="7"/>
      <c r="H221" s="7"/>
    </row>
    <row r="222" customFormat="false" ht="18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</row>
    <row r="223" customFormat="false" ht="18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</row>
    <row r="224" customFormat="false" ht="18" hidden="false" customHeight="true" outlineLevel="0" collapsed="false">
      <c r="A224" s="13"/>
      <c r="B224" s="13"/>
      <c r="C224" s="13"/>
      <c r="D224" s="13"/>
      <c r="E224" s="13"/>
      <c r="F224" s="13"/>
      <c r="G224" s="13"/>
      <c r="H224" s="13"/>
    </row>
    <row r="225" customFormat="false" ht="18" hidden="false" customHeight="true" outlineLevel="0" collapsed="false">
      <c r="A225" s="12" t="s">
        <v>265</v>
      </c>
      <c r="B225" s="12"/>
      <c r="C225" s="12"/>
      <c r="D225" s="12"/>
      <c r="E225" s="12" t="s">
        <v>266</v>
      </c>
      <c r="F225" s="12"/>
      <c r="G225" s="12"/>
      <c r="H225" s="12"/>
    </row>
    <row r="226" customFormat="false" ht="18" hidden="false" customHeight="true" outlineLevel="0" collapsed="false">
      <c r="A226" s="12" t="s">
        <v>272</v>
      </c>
      <c r="B226" s="12"/>
      <c r="C226" s="12"/>
      <c r="D226" s="12"/>
      <c r="E226" s="12"/>
      <c r="F226" s="12"/>
      <c r="G226" s="12"/>
      <c r="H226" s="12"/>
    </row>
    <row r="227" customFormat="false" ht="18" hidden="false" customHeight="true" outlineLevel="0" collapsed="false"/>
    <row r="228" customFormat="false" ht="18" hidden="false" customHeight="true" outlineLevel="0" collapsed="false"/>
    <row r="229" customFormat="false" ht="25.5" hidden="false" customHeight="true" outlineLevel="0" collapsed="false">
      <c r="A229" s="7" t="s">
        <v>246</v>
      </c>
      <c r="B229" s="7"/>
      <c r="C229" s="7"/>
      <c r="D229" s="7"/>
      <c r="E229" s="7"/>
      <c r="F229" s="7"/>
      <c r="G229" s="7"/>
      <c r="H229" s="7"/>
    </row>
    <row r="230" customFormat="false" ht="18" hidden="false" customHeight="true" outlineLevel="0" collapsed="false">
      <c r="A230" s="8" t="str">
        <f aca="false">'01 ADMIN_ORDER'!R8</f>
        <v>DRAFT - PERLU VERIFIKASI</v>
      </c>
      <c r="B230" s="8"/>
      <c r="C230" s="8"/>
      <c r="D230" s="8"/>
      <c r="E230" s="8"/>
      <c r="F230" s="8"/>
      <c r="G230" s="8"/>
      <c r="H230" s="8"/>
    </row>
    <row r="231" customFormat="false" ht="18" hidden="false" customHeight="true" outlineLevel="0" collapsed="false">
      <c r="A231" s="9" t="s">
        <v>247</v>
      </c>
      <c r="B231" s="9"/>
      <c r="C231" s="9"/>
      <c r="D231" s="9"/>
      <c r="E231" s="9"/>
      <c r="F231" s="9"/>
      <c r="G231" s="9"/>
      <c r="H231" s="9"/>
    </row>
    <row r="232" customFormat="false" ht="18" hidden="false" customHeight="true" outlineLevel="0" collapsed="false">
      <c r="A232" s="10" t="s">
        <v>248</v>
      </c>
      <c r="B232" s="10"/>
      <c r="C232" s="11" t="str">
        <f aca="false">'01 ADMIN_ORDER'!A8</f>
        <v>143/10/7 (59)</v>
      </c>
      <c r="D232" s="11"/>
      <c r="E232" s="11"/>
      <c r="F232" s="11"/>
      <c r="G232" s="11"/>
      <c r="H232" s="11"/>
    </row>
    <row r="233" customFormat="false" ht="18" hidden="false" customHeight="true" outlineLevel="0" collapsed="false">
      <c r="A233" s="10" t="s">
        <v>249</v>
      </c>
      <c r="B233" s="10"/>
      <c r="C233" s="12" t="str">
        <f aca="false">'01 ADMIN_ORDER'!C8&amp;" / "&amp;'01 ADMIN_ORDER'!D8</f>
        <v>FRONTCOURT LOW / LA6617</v>
      </c>
      <c r="D233" s="12"/>
      <c r="E233" s="12"/>
      <c r="F233" s="12"/>
      <c r="G233" s="12"/>
      <c r="H233" s="12"/>
    </row>
    <row r="234" customFormat="false" ht="18" hidden="false" customHeight="true" outlineLevel="0" collapsed="false">
      <c r="A234" s="10" t="s">
        <v>250</v>
      </c>
      <c r="B234" s="10"/>
      <c r="C234" s="12" t="str">
        <f aca="false">'01 ADMIN_ORDER'!E8</f>
        <v>903079277</v>
      </c>
      <c r="D234" s="12"/>
      <c r="E234" s="12"/>
      <c r="F234" s="12"/>
      <c r="G234" s="12"/>
      <c r="H234" s="12"/>
    </row>
    <row r="235" customFormat="false" ht="27.75" hidden="false" customHeight="true" outlineLevel="0" collapsed="false">
      <c r="A235" s="10" t="s">
        <v>251</v>
      </c>
      <c r="B235" s="10"/>
      <c r="C235" s="12" t="str">
        <f aca="false">'01 ADMIN_ORDER'!H8</f>
        <v>OLIVE TWO/OFF WHITE/OLIVE THREE</v>
      </c>
      <c r="D235" s="12"/>
      <c r="E235" s="12"/>
      <c r="F235" s="12"/>
      <c r="G235" s="12"/>
      <c r="H235" s="12"/>
    </row>
    <row r="236" customFormat="false" ht="18" hidden="false" customHeight="true" outlineLevel="0" collapsed="false">
      <c r="A236" s="10" t="s">
        <v>252</v>
      </c>
      <c r="B236" s="10"/>
      <c r="C236" s="12" t="str">
        <f aca="false">'01 ADMIN_ORDER'!B8&amp;" / "&amp;'01 ADMIN_ORDER'!G8</f>
        <v>A-19 / USA</v>
      </c>
      <c r="D236" s="12"/>
      <c r="E236" s="12"/>
      <c r="F236" s="12"/>
      <c r="G236" s="12"/>
      <c r="H236" s="12"/>
    </row>
    <row r="237" customFormat="false" ht="18" hidden="false" customHeight="true" outlineLevel="0" collapsed="false">
      <c r="A237" s="10" t="s">
        <v>253</v>
      </c>
      <c r="B237" s="10"/>
      <c r="C237" s="13" t="str">
        <f aca="false">'01 ADMIN_ORDER'!I8&amp;" / "&amp;IF('04 KESIAPAN'!B8="","UOM BELUM DIISI",'04 KESIAPAN'!B8)</f>
        <v>6120 / UOM BELUM DIISI</v>
      </c>
      <c r="D237" s="13"/>
      <c r="E237" s="13"/>
      <c r="F237" s="13"/>
      <c r="G237" s="13"/>
      <c r="H237" s="13"/>
    </row>
    <row r="238" customFormat="false" ht="18" hidden="false" customHeight="true" outlineLevel="0" collapsed="false">
      <c r="A238" s="13" t="str">
        <f aca="false">IF('04 KESIAPAN'!C8="","SISTEM UKURAN BELUM DIISI",'04 KESIAPAN'!C8)&amp;" | Tanda -: "&amp;IF('04 KESIAPAN'!D8="","BELUM DIKONFIRMASI",'04 KESIAPAN'!D8)</f>
        <v>SISTEM UKURAN BELUM DIISI | Tanda -: BELUM DIKONFIRMASI</v>
      </c>
      <c r="B238" s="13"/>
      <c r="C238" s="13"/>
      <c r="D238" s="13"/>
      <c r="E238" s="13"/>
      <c r="F238" s="13"/>
      <c r="G238" s="13"/>
      <c r="H238" s="13"/>
    </row>
    <row r="239" customFormat="false" ht="18" hidden="false" customHeight="true" outlineLevel="0" collapsed="false">
      <c r="A239" s="7" t="s">
        <v>254</v>
      </c>
      <c r="B239" s="7"/>
      <c r="C239" s="7"/>
      <c r="D239" s="7"/>
      <c r="E239" s="7"/>
      <c r="F239" s="7"/>
      <c r="G239" s="7"/>
      <c r="H239" s="7"/>
    </row>
    <row r="240" customFormat="false" ht="18" hidden="false" customHeight="true" outlineLevel="0" collapsed="false">
      <c r="A240" s="14" t="s">
        <v>214</v>
      </c>
      <c r="B240" s="0" t="n">
        <f aca="false">'02 SIZE_RUN'!D8</f>
        <v>0</v>
      </c>
      <c r="C240" s="14" t="s">
        <v>215</v>
      </c>
      <c r="D240" s="0" t="n">
        <f aca="false">'02 SIZE_RUN'!E8</f>
        <v>0</v>
      </c>
      <c r="E240" s="14" t="s">
        <v>216</v>
      </c>
      <c r="F240" s="0" t="n">
        <f aca="false">'02 SIZE_RUN'!F8</f>
        <v>0</v>
      </c>
      <c r="G240" s="14" t="s">
        <v>217</v>
      </c>
      <c r="H240" s="0" t="n">
        <f aca="false">'02 SIZE_RUN'!G8</f>
        <v>0</v>
      </c>
    </row>
    <row r="241" customFormat="false" ht="18" hidden="false" customHeight="true" outlineLevel="0" collapsed="false">
      <c r="A241" s="14" t="s">
        <v>218</v>
      </c>
      <c r="B241" s="0" t="n">
        <f aca="false">'02 SIZE_RUN'!H8</f>
        <v>0</v>
      </c>
      <c r="C241" s="14" t="s">
        <v>219</v>
      </c>
      <c r="D241" s="0" t="n">
        <f aca="false">'02 SIZE_RUN'!I8</f>
        <v>0</v>
      </c>
      <c r="E241" s="14" t="s">
        <v>220</v>
      </c>
      <c r="F241" s="0" t="n">
        <f aca="false">'02 SIZE_RUN'!J8</f>
        <v>0</v>
      </c>
      <c r="G241" s="14" t="s">
        <v>221</v>
      </c>
      <c r="H241" s="0" t="n">
        <f aca="false">'02 SIZE_RUN'!K8</f>
        <v>0</v>
      </c>
    </row>
    <row r="242" customFormat="false" ht="18" hidden="false" customHeight="true" outlineLevel="0" collapsed="false">
      <c r="A242" s="14" t="s">
        <v>222</v>
      </c>
      <c r="B242" s="0" t="n">
        <f aca="false">'02 SIZE_RUN'!L8</f>
        <v>420</v>
      </c>
      <c r="C242" s="14" t="s">
        <v>223</v>
      </c>
      <c r="D242" s="0" t="n">
        <f aca="false">'02 SIZE_RUN'!M8</f>
        <v>530</v>
      </c>
      <c r="E242" s="14" t="s">
        <v>224</v>
      </c>
      <c r="F242" s="0" t="n">
        <f aca="false">'02 SIZE_RUN'!N8</f>
        <v>550</v>
      </c>
      <c r="G242" s="14" t="s">
        <v>225</v>
      </c>
      <c r="H242" s="0" t="n">
        <f aca="false">'02 SIZE_RUN'!O8</f>
        <v>700</v>
      </c>
    </row>
    <row r="243" customFormat="false" ht="18" hidden="false" customHeight="true" outlineLevel="0" collapsed="false">
      <c r="A243" s="14" t="s">
        <v>226</v>
      </c>
      <c r="B243" s="0" t="n">
        <f aca="false">'02 SIZE_RUN'!P8</f>
        <v>740</v>
      </c>
      <c r="C243" s="14" t="s">
        <v>227</v>
      </c>
      <c r="D243" s="0" t="n">
        <f aca="false">'02 SIZE_RUN'!Q8</f>
        <v>730</v>
      </c>
      <c r="E243" s="14" t="s">
        <v>228</v>
      </c>
      <c r="F243" s="0" t="n">
        <f aca="false">'02 SIZE_RUN'!R8</f>
        <v>710</v>
      </c>
      <c r="G243" s="14" t="s">
        <v>229</v>
      </c>
      <c r="H243" s="0" t="n">
        <f aca="false">'02 SIZE_RUN'!S8</f>
        <v>720</v>
      </c>
    </row>
    <row r="244" customFormat="false" ht="18" hidden="false" customHeight="true" outlineLevel="0" collapsed="false">
      <c r="A244" s="14" t="s">
        <v>230</v>
      </c>
      <c r="B244" s="0" t="n">
        <f aca="false">'02 SIZE_RUN'!T8</f>
        <v>0</v>
      </c>
      <c r="C244" s="14" t="s">
        <v>231</v>
      </c>
      <c r="D244" s="0" t="n">
        <f aca="false">'02 SIZE_RUN'!U8</f>
        <v>600</v>
      </c>
      <c r="E244" s="14" t="s">
        <v>232</v>
      </c>
      <c r="F244" s="0" t="n">
        <f aca="false">'02 SIZE_RUN'!V8</f>
        <v>0</v>
      </c>
      <c r="G244" s="14" t="s">
        <v>233</v>
      </c>
      <c r="H244" s="0" t="n">
        <f aca="false">'02 SIZE_RUN'!W8</f>
        <v>420</v>
      </c>
    </row>
    <row r="245" customFormat="false" ht="18" hidden="false" customHeight="true" outlineLevel="0" collapsed="false">
      <c r="A245" s="14" t="s">
        <v>234</v>
      </c>
      <c r="B245" s="0" t="n">
        <f aca="false">'02 SIZE_RUN'!X8</f>
        <v>0</v>
      </c>
      <c r="C245" s="14" t="s">
        <v>235</v>
      </c>
      <c r="D245" s="0" t="n">
        <f aca="false">'02 SIZE_RUN'!Y8</f>
        <v>0</v>
      </c>
      <c r="E245" s="14" t="s">
        <v>236</v>
      </c>
      <c r="F245" s="0" t="n">
        <f aca="false">'02 SIZE_RUN'!Z8</f>
        <v>0</v>
      </c>
      <c r="G245" s="14" t="s">
        <v>237</v>
      </c>
      <c r="H245" s="0" t="n">
        <f aca="false">'02 SIZE_RUN'!AA8</f>
        <v>0</v>
      </c>
    </row>
    <row r="246" customFormat="false" ht="18" hidden="false" customHeight="true" outlineLevel="0" collapsed="false">
      <c r="A246" s="14" t="s">
        <v>238</v>
      </c>
      <c r="B246" s="0" t="n">
        <f aca="false">'02 SIZE_RUN'!AB8</f>
        <v>0</v>
      </c>
      <c r="C246" s="14" t="s">
        <v>239</v>
      </c>
      <c r="D246" s="0" t="n">
        <f aca="false">'02 SIZE_RUN'!AC8</f>
        <v>0</v>
      </c>
      <c r="E246" s="14" t="s">
        <v>240</v>
      </c>
      <c r="F246" s="0" t="n">
        <f aca="false">'02 SIZE_RUN'!AD8</f>
        <v>0</v>
      </c>
      <c r="G246" s="14" t="s">
        <v>241</v>
      </c>
      <c r="H246" s="0" t="n">
        <f aca="false">'02 SIZE_RUN'!AE8</f>
        <v>0</v>
      </c>
    </row>
    <row r="247" customFormat="false" ht="18" hidden="false" customHeight="true" outlineLevel="0" collapsed="false">
      <c r="A247" s="14" t="s">
        <v>242</v>
      </c>
      <c r="B247" s="0" t="n">
        <f aca="false">'02 SIZE_RUN'!AF8</f>
        <v>0</v>
      </c>
    </row>
    <row r="248" customFormat="false" ht="18" hidden="false" customHeight="true" outlineLevel="0" collapsed="false">
      <c r="A248" s="10" t="str">
        <f aca="false">"TOTAL SIZE: "&amp;'02 SIZE_RUN'!AG8&amp;" | SELISIH: "&amp;'02 SIZE_RUN'!AH8</f>
        <v>TOTAL SIZE: 6120 | SELISIH: 0</v>
      </c>
      <c r="B248" s="10"/>
      <c r="C248" s="10"/>
      <c r="D248" s="10"/>
      <c r="E248" s="10"/>
      <c r="F248" s="10"/>
      <c r="G248" s="10"/>
      <c r="H248" s="10"/>
    </row>
    <row r="249" customFormat="false" ht="18" hidden="false" customHeight="true" outlineLevel="0" collapsed="false">
      <c r="A249" s="10" t="s">
        <v>255</v>
      </c>
      <c r="B249" s="10"/>
      <c r="C249" s="10"/>
      <c r="D249" s="13" t="str">
        <f aca="false">IF('01 ADMIN_ORDER'!P8="","BELUM DITETAPKAN",TEXT('01 ADMIN_ORDER'!P8,"dd mmm yyyy"))</f>
        <v>BELUM DITETAPKAN</v>
      </c>
      <c r="E249" s="13"/>
      <c r="F249" s="13"/>
      <c r="G249" s="13"/>
      <c r="H249" s="13"/>
    </row>
    <row r="250" customFormat="false" ht="18" hidden="false" customHeight="true" outlineLevel="0" collapsed="false">
      <c r="A250" s="10" t="s">
        <v>256</v>
      </c>
      <c r="B250" s="10"/>
      <c r="C250" s="10"/>
      <c r="D250" s="13" t="str">
        <f aca="false">IF('01 ADMIN_ORDER'!Q8="","BELUM DITETAPKAN",TEXT('01 ADMIN_ORDER'!Q8,"dd mmm yyyy"))</f>
        <v>BELUM DITETAPKAN</v>
      </c>
      <c r="E250" s="13"/>
      <c r="F250" s="13"/>
      <c r="G250" s="13"/>
      <c r="H250" s="13"/>
    </row>
    <row r="251" customFormat="false" ht="25.5" hidden="false" customHeight="true" outlineLevel="0" collapsed="false">
      <c r="A251" s="12" t="str">
        <f aca="false">"REFERENSI ASSEMBLY (bukan target upper): "&amp;TEXT('01 ADMIN_ORDER'!M8,"dd mmm yyyy")&amp;" - "&amp;TEXT('01 ADMIN_ORDER'!N8,"dd mmm yyyy")</f>
        <v>REFERENSI ASSEMBLY (bukan target upper): 28 Sep 2026 - 07 Oct 2026</v>
      </c>
      <c r="B251" s="12"/>
      <c r="C251" s="12"/>
      <c r="D251" s="12"/>
      <c r="E251" s="12"/>
      <c r="F251" s="12"/>
      <c r="G251" s="12"/>
      <c r="H251" s="12"/>
    </row>
    <row r="252" customFormat="false" ht="18" hidden="false" customHeight="true" outlineLevel="0" collapsed="false">
      <c r="A252" s="10" t="s">
        <v>257</v>
      </c>
      <c r="B252" s="10"/>
      <c r="C252" s="10"/>
      <c r="D252" s="13" t="str">
        <f aca="false">IF('04 KESIAPAN'!G8="","BELUM DIISI",'04 KESIAPAN'!G8)</f>
        <v>BELUM DIISI</v>
      </c>
      <c r="E252" s="13"/>
      <c r="F252" s="13"/>
      <c r="G252" s="13"/>
      <c r="H252" s="13"/>
    </row>
    <row r="253" customFormat="false" ht="18" hidden="false" customHeight="true" outlineLevel="0" collapsed="false">
      <c r="A253" s="10" t="s">
        <v>258</v>
      </c>
      <c r="B253" s="10"/>
      <c r="C253" s="10"/>
      <c r="D253" s="13" t="str">
        <f aca="false">IF('04 KESIAPAN'!H8="","BELUM DIISI",'04 KESIAPAN'!H8)</f>
        <v>BELUM DIISI</v>
      </c>
      <c r="E253" s="13"/>
      <c r="F253" s="13"/>
      <c r="G253" s="13"/>
      <c r="H253" s="13"/>
    </row>
    <row r="254" customFormat="false" ht="18" hidden="false" customHeight="true" outlineLevel="0" collapsed="false">
      <c r="A254" s="10" t="s">
        <v>259</v>
      </c>
      <c r="B254" s="10"/>
      <c r="C254" s="10"/>
      <c r="D254" s="13" t="str">
        <f aca="false">IF('04 KESIAPAN'!I8="","BELUM DIISI",'04 KESIAPAN'!I8)</f>
        <v>BELUM DIISI</v>
      </c>
      <c r="E254" s="13"/>
      <c r="F254" s="13"/>
      <c r="G254" s="13"/>
      <c r="H254" s="13"/>
    </row>
    <row r="255" customFormat="false" ht="18" hidden="false" customHeight="true" outlineLevel="0" collapsed="false">
      <c r="A255" s="10" t="s">
        <v>260</v>
      </c>
      <c r="B255" s="10"/>
      <c r="C255" s="10"/>
      <c r="D255" s="13" t="str">
        <f aca="false">IF('04 KESIAPAN'!K8="","BELUM DIISI",'04 KESIAPAN'!K8)</f>
        <v>BELUM DIISI</v>
      </c>
      <c r="E255" s="13"/>
      <c r="F255" s="13"/>
      <c r="G255" s="13"/>
      <c r="H255" s="13"/>
    </row>
    <row r="256" customFormat="false" ht="18" hidden="false" customHeight="true" outlineLevel="0" collapsed="false">
      <c r="A256" s="10" t="s">
        <v>261</v>
      </c>
      <c r="B256" s="10"/>
      <c r="C256" s="10"/>
      <c r="D256" s="13" t="str">
        <f aca="false">IF('04 KESIAPAN'!L8="","BELUM DIISI",'04 KESIAPAN'!L8)</f>
        <v>BELUM DIISI</v>
      </c>
      <c r="E256" s="13"/>
      <c r="F256" s="13"/>
      <c r="G256" s="13"/>
      <c r="H256" s="13"/>
    </row>
    <row r="257" customFormat="false" ht="18" hidden="false" customHeight="true" outlineLevel="0" collapsed="false">
      <c r="A257" s="10" t="s">
        <v>262</v>
      </c>
      <c r="B257" s="10"/>
      <c r="C257" s="10"/>
      <c r="D257" s="13" t="str">
        <f aca="false">IF('04 KESIAPAN'!N8="","BELUM DIISI",'04 KESIAPAN'!N8)</f>
        <v>BELUM DIISI</v>
      </c>
      <c r="E257" s="13"/>
      <c r="F257" s="13"/>
      <c r="G257" s="13"/>
      <c r="H257" s="13"/>
    </row>
    <row r="258" customFormat="false" ht="18" hidden="false" customHeight="true" outlineLevel="0" collapsed="false">
      <c r="A258" s="10" t="s">
        <v>263</v>
      </c>
      <c r="B258" s="10"/>
      <c r="C258" s="10"/>
      <c r="D258" s="13" t="str">
        <f aca="false">IF('04 KESIAPAN'!P8="","BELUM DIISI",'04 KESIAPAN'!P8)</f>
        <v>BELUM DIISI</v>
      </c>
      <c r="E258" s="13"/>
      <c r="F258" s="13"/>
      <c r="G258" s="13"/>
      <c r="H258" s="13"/>
    </row>
    <row r="259" customFormat="false" ht="18" hidden="false" customHeight="true" outlineLevel="0" collapsed="false">
      <c r="A259" s="7" t="s">
        <v>264</v>
      </c>
      <c r="B259" s="7"/>
      <c r="C259" s="7"/>
      <c r="D259" s="7"/>
      <c r="E259" s="7"/>
      <c r="F259" s="7"/>
      <c r="G259" s="7"/>
      <c r="H259" s="7"/>
    </row>
    <row r="260" customFormat="false" ht="18" hidden="false" customHeight="true" outlineLevel="0" collapsed="false">
      <c r="A260" s="13"/>
      <c r="B260" s="13"/>
      <c r="C260" s="13"/>
      <c r="D260" s="13"/>
      <c r="E260" s="13"/>
      <c r="F260" s="13"/>
      <c r="G260" s="13"/>
      <c r="H260" s="13"/>
    </row>
    <row r="261" customFormat="false" ht="18" hidden="false" customHeight="true" outlineLevel="0" collapsed="false">
      <c r="A261" s="13"/>
      <c r="B261" s="13"/>
      <c r="C261" s="13"/>
      <c r="D261" s="13"/>
      <c r="E261" s="13"/>
      <c r="F261" s="13"/>
      <c r="G261" s="13"/>
      <c r="H261" s="13"/>
    </row>
    <row r="262" customFormat="false" ht="18" hidden="false" customHeight="true" outlineLevel="0" collapsed="false">
      <c r="A262" s="13"/>
      <c r="B262" s="13"/>
      <c r="C262" s="13"/>
      <c r="D262" s="13"/>
      <c r="E262" s="13"/>
      <c r="F262" s="13"/>
      <c r="G262" s="13"/>
      <c r="H262" s="13"/>
    </row>
    <row r="263" customFormat="false" ht="18" hidden="false" customHeight="true" outlineLevel="0" collapsed="false">
      <c r="A263" s="12" t="s">
        <v>265</v>
      </c>
      <c r="B263" s="12"/>
      <c r="C263" s="12"/>
      <c r="D263" s="12"/>
      <c r="E263" s="12" t="s">
        <v>266</v>
      </c>
      <c r="F263" s="12"/>
      <c r="G263" s="12"/>
      <c r="H263" s="12"/>
    </row>
    <row r="264" customFormat="false" ht="18" hidden="false" customHeight="true" outlineLevel="0" collapsed="false">
      <c r="A264" s="12" t="s">
        <v>273</v>
      </c>
      <c r="B264" s="12"/>
      <c r="C264" s="12"/>
      <c r="D264" s="12"/>
      <c r="E264" s="12"/>
      <c r="F264" s="12"/>
      <c r="G264" s="12"/>
      <c r="H264" s="12"/>
    </row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25.5" hidden="false" customHeight="true" outlineLevel="0" collapsed="false">
      <c r="A267" s="7" t="s">
        <v>246</v>
      </c>
      <c r="B267" s="7"/>
      <c r="C267" s="7"/>
      <c r="D267" s="7"/>
      <c r="E267" s="7"/>
      <c r="F267" s="7"/>
      <c r="G267" s="7"/>
      <c r="H267" s="7"/>
    </row>
    <row r="268" customFormat="false" ht="18" hidden="false" customHeight="true" outlineLevel="0" collapsed="false">
      <c r="A268" s="8" t="str">
        <f aca="false">'01 ADMIN_ORDER'!R9</f>
        <v>DRAFT - PERLU VERIFIKASI</v>
      </c>
      <c r="B268" s="8"/>
      <c r="C268" s="8"/>
      <c r="D268" s="8"/>
      <c r="E268" s="8"/>
      <c r="F268" s="8"/>
      <c r="G268" s="8"/>
      <c r="H268" s="8"/>
    </row>
    <row r="269" customFormat="false" ht="18" hidden="false" customHeight="true" outlineLevel="0" collapsed="false">
      <c r="A269" s="9" t="s">
        <v>247</v>
      </c>
      <c r="B269" s="9"/>
      <c r="C269" s="9"/>
      <c r="D269" s="9"/>
      <c r="E269" s="9"/>
      <c r="F269" s="9"/>
      <c r="G269" s="9"/>
      <c r="H269" s="9"/>
    </row>
    <row r="270" customFormat="false" ht="18" hidden="false" customHeight="true" outlineLevel="0" collapsed="false">
      <c r="A270" s="10" t="s">
        <v>248</v>
      </c>
      <c r="B270" s="10"/>
      <c r="C270" s="11" t="str">
        <f aca="false">'01 ADMIN_ORDER'!A9</f>
        <v>144/10/8 (59)</v>
      </c>
      <c r="D270" s="11"/>
      <c r="E270" s="11"/>
      <c r="F270" s="11"/>
      <c r="G270" s="11"/>
      <c r="H270" s="11"/>
    </row>
    <row r="271" customFormat="false" ht="18" hidden="false" customHeight="true" outlineLevel="0" collapsed="false">
      <c r="A271" s="10" t="s">
        <v>249</v>
      </c>
      <c r="B271" s="10"/>
      <c r="C271" s="12" t="str">
        <f aca="false">'01 ADMIN_ORDER'!C9&amp;" / "&amp;'01 ADMIN_ORDER'!D9</f>
        <v>FRONTCOURT LOW / LA6606</v>
      </c>
      <c r="D271" s="12"/>
      <c r="E271" s="12"/>
      <c r="F271" s="12"/>
      <c r="G271" s="12"/>
      <c r="H271" s="12"/>
    </row>
    <row r="272" customFormat="false" ht="18" hidden="false" customHeight="true" outlineLevel="0" collapsed="false">
      <c r="A272" s="10" t="s">
        <v>250</v>
      </c>
      <c r="B272" s="10"/>
      <c r="C272" s="12" t="str">
        <f aca="false">'01 ADMIN_ORDER'!E9</f>
        <v>903279874</v>
      </c>
      <c r="D272" s="12"/>
      <c r="E272" s="12"/>
      <c r="F272" s="12"/>
      <c r="G272" s="12"/>
      <c r="H272" s="12"/>
    </row>
    <row r="273" customFormat="false" ht="27.75" hidden="false" customHeight="true" outlineLevel="0" collapsed="false">
      <c r="A273" s="10" t="s">
        <v>251</v>
      </c>
      <c r="B273" s="10"/>
      <c r="C273" s="12" t="str">
        <f aca="false">'01 ADMIN_ORDER'!H9</f>
        <v>CORE BLACK/CORE BLACK/GREY FIVE</v>
      </c>
      <c r="D273" s="12"/>
      <c r="E273" s="12"/>
      <c r="F273" s="12"/>
      <c r="G273" s="12"/>
      <c r="H273" s="12"/>
    </row>
    <row r="274" customFormat="false" ht="18" hidden="false" customHeight="true" outlineLevel="0" collapsed="false">
      <c r="A274" s="10" t="s">
        <v>252</v>
      </c>
      <c r="B274" s="10"/>
      <c r="C274" s="12" t="str">
        <f aca="false">'01 ADMIN_ORDER'!B9&amp;" / "&amp;'01 ADMIN_ORDER'!G9</f>
        <v>A-19 / Peru</v>
      </c>
      <c r="D274" s="12"/>
      <c r="E274" s="12"/>
      <c r="F274" s="12"/>
      <c r="G274" s="12"/>
      <c r="H274" s="12"/>
    </row>
    <row r="275" customFormat="false" ht="18" hidden="false" customHeight="true" outlineLevel="0" collapsed="false">
      <c r="A275" s="10" t="s">
        <v>253</v>
      </c>
      <c r="B275" s="10"/>
      <c r="C275" s="13" t="str">
        <f aca="false">'01 ADMIN_ORDER'!I9&amp;" / "&amp;IF('04 KESIAPAN'!B9="","UOM BELUM DIISI",'04 KESIAPAN'!B9)</f>
        <v>440 / UOM BELUM DIISI</v>
      </c>
      <c r="D275" s="13"/>
      <c r="E275" s="13"/>
      <c r="F275" s="13"/>
      <c r="G275" s="13"/>
      <c r="H275" s="13"/>
    </row>
    <row r="276" customFormat="false" ht="18" hidden="false" customHeight="true" outlineLevel="0" collapsed="false">
      <c r="A276" s="13" t="str">
        <f aca="false">IF('04 KESIAPAN'!C9="","SISTEM UKURAN BELUM DIISI",'04 KESIAPAN'!C9)&amp;" | Tanda -: "&amp;IF('04 KESIAPAN'!D9="","BELUM DIKONFIRMASI",'04 KESIAPAN'!D9)</f>
        <v>SISTEM UKURAN BELUM DIISI | Tanda -: BELUM DIKONFIRMASI</v>
      </c>
      <c r="B276" s="13"/>
      <c r="C276" s="13"/>
      <c r="D276" s="13"/>
      <c r="E276" s="13"/>
      <c r="F276" s="13"/>
      <c r="G276" s="13"/>
      <c r="H276" s="13"/>
    </row>
    <row r="277" customFormat="false" ht="18" hidden="false" customHeight="true" outlineLevel="0" collapsed="false">
      <c r="A277" s="7" t="s">
        <v>254</v>
      </c>
      <c r="B277" s="7"/>
      <c r="C277" s="7"/>
      <c r="D277" s="7"/>
      <c r="E277" s="7"/>
      <c r="F277" s="7"/>
      <c r="G277" s="7"/>
      <c r="H277" s="7"/>
    </row>
    <row r="278" customFormat="false" ht="18" hidden="false" customHeight="true" outlineLevel="0" collapsed="false">
      <c r="A278" s="14" t="s">
        <v>214</v>
      </c>
      <c r="B278" s="0" t="n">
        <f aca="false">'02 SIZE_RUN'!D9</f>
        <v>0</v>
      </c>
      <c r="C278" s="14" t="s">
        <v>215</v>
      </c>
      <c r="D278" s="0" t="n">
        <f aca="false">'02 SIZE_RUN'!E9</f>
        <v>0</v>
      </c>
      <c r="E278" s="14" t="s">
        <v>216</v>
      </c>
      <c r="F278" s="0" t="n">
        <f aca="false">'02 SIZE_RUN'!F9</f>
        <v>0</v>
      </c>
      <c r="G278" s="14" t="s">
        <v>217</v>
      </c>
      <c r="H278" s="0" t="n">
        <f aca="false">'02 SIZE_RUN'!G9</f>
        <v>0</v>
      </c>
    </row>
    <row r="279" customFormat="false" ht="18" hidden="false" customHeight="true" outlineLevel="0" collapsed="false">
      <c r="A279" s="14" t="s">
        <v>218</v>
      </c>
      <c r="B279" s="0" t="n">
        <f aca="false">'02 SIZE_RUN'!H9</f>
        <v>0</v>
      </c>
      <c r="C279" s="14" t="s">
        <v>219</v>
      </c>
      <c r="D279" s="0" t="n">
        <f aca="false">'02 SIZE_RUN'!I9</f>
        <v>0</v>
      </c>
      <c r="E279" s="14" t="s">
        <v>220</v>
      </c>
      <c r="F279" s="0" t="n">
        <f aca="false">'02 SIZE_RUN'!J9</f>
        <v>0</v>
      </c>
      <c r="G279" s="14" t="s">
        <v>221</v>
      </c>
      <c r="H279" s="0" t="n">
        <f aca="false">'02 SIZE_RUN'!K9</f>
        <v>0</v>
      </c>
    </row>
    <row r="280" customFormat="false" ht="18" hidden="false" customHeight="true" outlineLevel="0" collapsed="false">
      <c r="A280" s="14" t="s">
        <v>222</v>
      </c>
      <c r="B280" s="0" t="n">
        <f aca="false">'02 SIZE_RUN'!L9</f>
        <v>37</v>
      </c>
      <c r="C280" s="14" t="s">
        <v>223</v>
      </c>
      <c r="D280" s="0" t="n">
        <f aca="false">'02 SIZE_RUN'!M9</f>
        <v>73</v>
      </c>
      <c r="E280" s="14" t="s">
        <v>224</v>
      </c>
      <c r="F280" s="0" t="n">
        <f aca="false">'02 SIZE_RUN'!N9</f>
        <v>92</v>
      </c>
      <c r="G280" s="14" t="s">
        <v>225</v>
      </c>
      <c r="H280" s="0" t="n">
        <f aca="false">'02 SIZE_RUN'!O9</f>
        <v>73</v>
      </c>
    </row>
    <row r="281" customFormat="false" ht="18" hidden="false" customHeight="true" outlineLevel="0" collapsed="false">
      <c r="A281" s="14" t="s">
        <v>226</v>
      </c>
      <c r="B281" s="0" t="n">
        <f aca="false">'02 SIZE_RUN'!P9</f>
        <v>73</v>
      </c>
      <c r="C281" s="14" t="s">
        <v>227</v>
      </c>
      <c r="D281" s="0" t="n">
        <f aca="false">'02 SIZE_RUN'!Q9</f>
        <v>55</v>
      </c>
      <c r="E281" s="14" t="s">
        <v>228</v>
      </c>
      <c r="F281" s="0" t="n">
        <f aca="false">'02 SIZE_RUN'!R9</f>
        <v>37</v>
      </c>
      <c r="G281" s="14" t="s">
        <v>229</v>
      </c>
      <c r="H281" s="0" t="n">
        <f aca="false">'02 SIZE_RUN'!S9</f>
        <v>0</v>
      </c>
    </row>
    <row r="282" customFormat="false" ht="18" hidden="false" customHeight="true" outlineLevel="0" collapsed="false">
      <c r="A282" s="14" t="s">
        <v>230</v>
      </c>
      <c r="B282" s="0" t="n">
        <f aca="false">'02 SIZE_RUN'!T9</f>
        <v>0</v>
      </c>
      <c r="C282" s="14" t="s">
        <v>231</v>
      </c>
      <c r="D282" s="0" t="n">
        <f aca="false">'02 SIZE_RUN'!U9</f>
        <v>0</v>
      </c>
      <c r="E282" s="14" t="s">
        <v>232</v>
      </c>
      <c r="F282" s="0" t="n">
        <f aca="false">'02 SIZE_RUN'!V9</f>
        <v>0</v>
      </c>
      <c r="G282" s="14" t="s">
        <v>233</v>
      </c>
      <c r="H282" s="0" t="n">
        <f aca="false">'02 SIZE_RUN'!W9</f>
        <v>0</v>
      </c>
    </row>
    <row r="283" customFormat="false" ht="18" hidden="false" customHeight="true" outlineLevel="0" collapsed="false">
      <c r="A283" s="14" t="s">
        <v>234</v>
      </c>
      <c r="B283" s="0" t="n">
        <f aca="false">'02 SIZE_RUN'!X9</f>
        <v>0</v>
      </c>
      <c r="C283" s="14" t="s">
        <v>235</v>
      </c>
      <c r="D283" s="0" t="n">
        <f aca="false">'02 SIZE_RUN'!Y9</f>
        <v>0</v>
      </c>
      <c r="E283" s="14" t="s">
        <v>236</v>
      </c>
      <c r="F283" s="0" t="n">
        <f aca="false">'02 SIZE_RUN'!Z9</f>
        <v>0</v>
      </c>
      <c r="G283" s="14" t="s">
        <v>237</v>
      </c>
      <c r="H283" s="0" t="n">
        <f aca="false">'02 SIZE_RUN'!AA9</f>
        <v>0</v>
      </c>
    </row>
    <row r="284" customFormat="false" ht="18" hidden="false" customHeight="true" outlineLevel="0" collapsed="false">
      <c r="A284" s="14" t="s">
        <v>238</v>
      </c>
      <c r="B284" s="0" t="n">
        <f aca="false">'02 SIZE_RUN'!AB9</f>
        <v>0</v>
      </c>
      <c r="C284" s="14" t="s">
        <v>239</v>
      </c>
      <c r="D284" s="0" t="n">
        <f aca="false">'02 SIZE_RUN'!AC9</f>
        <v>0</v>
      </c>
      <c r="E284" s="14" t="s">
        <v>240</v>
      </c>
      <c r="F284" s="0" t="n">
        <f aca="false">'02 SIZE_RUN'!AD9</f>
        <v>0</v>
      </c>
      <c r="G284" s="14" t="s">
        <v>241</v>
      </c>
      <c r="H284" s="0" t="n">
        <f aca="false">'02 SIZE_RUN'!AE9</f>
        <v>0</v>
      </c>
    </row>
    <row r="285" customFormat="false" ht="18" hidden="false" customHeight="true" outlineLevel="0" collapsed="false">
      <c r="A285" s="14" t="s">
        <v>242</v>
      </c>
      <c r="B285" s="0" t="n">
        <f aca="false">'02 SIZE_RUN'!AF9</f>
        <v>0</v>
      </c>
    </row>
    <row r="286" customFormat="false" ht="18" hidden="false" customHeight="true" outlineLevel="0" collapsed="false">
      <c r="A286" s="10" t="str">
        <f aca="false">"TOTAL SIZE: "&amp;'02 SIZE_RUN'!AG9&amp;" | SELISIH: "&amp;'02 SIZE_RUN'!AH9</f>
        <v>TOTAL SIZE: 440 | SELISIH: 0</v>
      </c>
      <c r="B286" s="10"/>
      <c r="C286" s="10"/>
      <c r="D286" s="10"/>
      <c r="E286" s="10"/>
      <c r="F286" s="10"/>
      <c r="G286" s="10"/>
      <c r="H286" s="10"/>
    </row>
    <row r="287" customFormat="false" ht="18" hidden="false" customHeight="true" outlineLevel="0" collapsed="false">
      <c r="A287" s="10" t="s">
        <v>255</v>
      </c>
      <c r="B287" s="10"/>
      <c r="C287" s="10"/>
      <c r="D287" s="13" t="str">
        <f aca="false">IF('01 ADMIN_ORDER'!P9="","BELUM DITETAPKAN",TEXT('01 ADMIN_ORDER'!P9,"dd mmm yyyy"))</f>
        <v>BELUM DITETAPKAN</v>
      </c>
      <c r="E287" s="13"/>
      <c r="F287" s="13"/>
      <c r="G287" s="13"/>
      <c r="H287" s="13"/>
    </row>
    <row r="288" customFormat="false" ht="18" hidden="false" customHeight="true" outlineLevel="0" collapsed="false">
      <c r="A288" s="10" t="s">
        <v>256</v>
      </c>
      <c r="B288" s="10"/>
      <c r="C288" s="10"/>
      <c r="D288" s="13" t="str">
        <f aca="false">IF('01 ADMIN_ORDER'!Q9="","BELUM DITETAPKAN",TEXT('01 ADMIN_ORDER'!Q9,"dd mmm yyyy"))</f>
        <v>BELUM DITETAPKAN</v>
      </c>
      <c r="E288" s="13"/>
      <c r="F288" s="13"/>
      <c r="G288" s="13"/>
      <c r="H288" s="13"/>
    </row>
    <row r="289" customFormat="false" ht="25.5" hidden="false" customHeight="true" outlineLevel="0" collapsed="false">
      <c r="A289" s="12" t="str">
        <f aca="false">"REFERENSI ASSEMBLY (bukan target upper): "&amp;TEXT('01 ADMIN_ORDER'!M9,"dd mmm yyyy")&amp;" - "&amp;TEXT('01 ADMIN_ORDER'!N9,"dd mmm yyyy")</f>
        <v>REFERENSI ASSEMBLY (bukan target upper): 07 Oct 2026 - 07 Oct 2026</v>
      </c>
      <c r="B289" s="12"/>
      <c r="C289" s="12"/>
      <c r="D289" s="12"/>
      <c r="E289" s="12"/>
      <c r="F289" s="12"/>
      <c r="G289" s="12"/>
      <c r="H289" s="12"/>
    </row>
    <row r="290" customFormat="false" ht="18" hidden="false" customHeight="true" outlineLevel="0" collapsed="false">
      <c r="A290" s="10" t="s">
        <v>257</v>
      </c>
      <c r="B290" s="10"/>
      <c r="C290" s="10"/>
      <c r="D290" s="13" t="str">
        <f aca="false">IF('04 KESIAPAN'!G9="","BELUM DIISI",'04 KESIAPAN'!G9)</f>
        <v>BELUM DIISI</v>
      </c>
      <c r="E290" s="13"/>
      <c r="F290" s="13"/>
      <c r="G290" s="13"/>
      <c r="H290" s="13"/>
    </row>
    <row r="291" customFormat="false" ht="18" hidden="false" customHeight="true" outlineLevel="0" collapsed="false">
      <c r="A291" s="10" t="s">
        <v>258</v>
      </c>
      <c r="B291" s="10"/>
      <c r="C291" s="10"/>
      <c r="D291" s="13" t="str">
        <f aca="false">IF('04 KESIAPAN'!H9="","BELUM DIISI",'04 KESIAPAN'!H9)</f>
        <v>BELUM DIISI</v>
      </c>
      <c r="E291" s="13"/>
      <c r="F291" s="13"/>
      <c r="G291" s="13"/>
      <c r="H291" s="13"/>
    </row>
    <row r="292" customFormat="false" ht="18" hidden="false" customHeight="true" outlineLevel="0" collapsed="false">
      <c r="A292" s="10" t="s">
        <v>259</v>
      </c>
      <c r="B292" s="10"/>
      <c r="C292" s="10"/>
      <c r="D292" s="13" t="str">
        <f aca="false">IF('04 KESIAPAN'!I9="","BELUM DIISI",'04 KESIAPAN'!I9)</f>
        <v>BELUM DIISI</v>
      </c>
      <c r="E292" s="13"/>
      <c r="F292" s="13"/>
      <c r="G292" s="13"/>
      <c r="H292" s="13"/>
    </row>
    <row r="293" customFormat="false" ht="18" hidden="false" customHeight="true" outlineLevel="0" collapsed="false">
      <c r="A293" s="10" t="s">
        <v>260</v>
      </c>
      <c r="B293" s="10"/>
      <c r="C293" s="10"/>
      <c r="D293" s="13" t="str">
        <f aca="false">IF('04 KESIAPAN'!K9="","BELUM DIISI",'04 KESIAPAN'!K9)</f>
        <v>BELUM DIISI</v>
      </c>
      <c r="E293" s="13"/>
      <c r="F293" s="13"/>
      <c r="G293" s="13"/>
      <c r="H293" s="13"/>
    </row>
    <row r="294" customFormat="false" ht="18" hidden="false" customHeight="true" outlineLevel="0" collapsed="false">
      <c r="A294" s="10" t="s">
        <v>261</v>
      </c>
      <c r="B294" s="10"/>
      <c r="C294" s="10"/>
      <c r="D294" s="13" t="str">
        <f aca="false">IF('04 KESIAPAN'!L9="","BELUM DIISI",'04 KESIAPAN'!L9)</f>
        <v>BELUM DIISI</v>
      </c>
      <c r="E294" s="13"/>
      <c r="F294" s="13"/>
      <c r="G294" s="13"/>
      <c r="H294" s="13"/>
    </row>
    <row r="295" customFormat="false" ht="18" hidden="false" customHeight="true" outlineLevel="0" collapsed="false">
      <c r="A295" s="10" t="s">
        <v>262</v>
      </c>
      <c r="B295" s="10"/>
      <c r="C295" s="10"/>
      <c r="D295" s="13" t="str">
        <f aca="false">IF('04 KESIAPAN'!N9="","BELUM DIISI",'04 KESIAPAN'!N9)</f>
        <v>BELUM DIISI</v>
      </c>
      <c r="E295" s="13"/>
      <c r="F295" s="13"/>
      <c r="G295" s="13"/>
      <c r="H295" s="13"/>
    </row>
    <row r="296" customFormat="false" ht="18" hidden="false" customHeight="true" outlineLevel="0" collapsed="false">
      <c r="A296" s="10" t="s">
        <v>263</v>
      </c>
      <c r="B296" s="10"/>
      <c r="C296" s="10"/>
      <c r="D296" s="13" t="str">
        <f aca="false">IF('04 KESIAPAN'!P9="","BELUM DIISI",'04 KESIAPAN'!P9)</f>
        <v>BELUM DIISI</v>
      </c>
      <c r="E296" s="13"/>
      <c r="F296" s="13"/>
      <c r="G296" s="13"/>
      <c r="H296" s="13"/>
    </row>
    <row r="297" customFormat="false" ht="18" hidden="false" customHeight="true" outlineLevel="0" collapsed="false">
      <c r="A297" s="7" t="s">
        <v>264</v>
      </c>
      <c r="B297" s="7"/>
      <c r="C297" s="7"/>
      <c r="D297" s="7"/>
      <c r="E297" s="7"/>
      <c r="F297" s="7"/>
      <c r="G297" s="7"/>
      <c r="H297" s="7"/>
    </row>
    <row r="298" customFormat="false" ht="18" hidden="false" customHeight="true" outlineLevel="0" collapsed="false">
      <c r="A298" s="13"/>
      <c r="B298" s="13"/>
      <c r="C298" s="13"/>
      <c r="D298" s="13"/>
      <c r="E298" s="13"/>
      <c r="F298" s="13"/>
      <c r="G298" s="13"/>
      <c r="H298" s="13"/>
    </row>
    <row r="299" customFormat="false" ht="18" hidden="false" customHeight="true" outlineLevel="0" collapsed="false">
      <c r="A299" s="13"/>
      <c r="B299" s="13"/>
      <c r="C299" s="13"/>
      <c r="D299" s="13"/>
      <c r="E299" s="13"/>
      <c r="F299" s="13"/>
      <c r="G299" s="13"/>
      <c r="H299" s="13"/>
    </row>
    <row r="300" customFormat="false" ht="18" hidden="false" customHeight="true" outlineLevel="0" collapsed="false">
      <c r="A300" s="13"/>
      <c r="B300" s="13"/>
      <c r="C300" s="13"/>
      <c r="D300" s="13"/>
      <c r="E300" s="13"/>
      <c r="F300" s="13"/>
      <c r="G300" s="13"/>
      <c r="H300" s="13"/>
    </row>
    <row r="301" customFormat="false" ht="18" hidden="false" customHeight="true" outlineLevel="0" collapsed="false">
      <c r="A301" s="12" t="s">
        <v>265</v>
      </c>
      <c r="B301" s="12"/>
      <c r="C301" s="12"/>
      <c r="D301" s="12"/>
      <c r="E301" s="12" t="s">
        <v>266</v>
      </c>
      <c r="F301" s="12"/>
      <c r="G301" s="12"/>
      <c r="H301" s="12"/>
    </row>
    <row r="302" customFormat="false" ht="18" hidden="false" customHeight="true" outlineLevel="0" collapsed="false">
      <c r="A302" s="12" t="s">
        <v>274</v>
      </c>
      <c r="B302" s="12"/>
      <c r="C302" s="12"/>
      <c r="D302" s="12"/>
      <c r="E302" s="12"/>
      <c r="F302" s="12"/>
      <c r="G302" s="12"/>
      <c r="H302" s="12"/>
    </row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25.5" hidden="false" customHeight="true" outlineLevel="0" collapsed="false">
      <c r="A305" s="7" t="s">
        <v>246</v>
      </c>
      <c r="B305" s="7"/>
      <c r="C305" s="7"/>
      <c r="D305" s="7"/>
      <c r="E305" s="7"/>
      <c r="F305" s="7"/>
      <c r="G305" s="7"/>
      <c r="H305" s="7"/>
    </row>
    <row r="306" customFormat="false" ht="18" hidden="false" customHeight="true" outlineLevel="0" collapsed="false">
      <c r="A306" s="8" t="str">
        <f aca="false">'01 ADMIN_ORDER'!R10</f>
        <v>DRAFT - PERLU VERIFIKASI</v>
      </c>
      <c r="B306" s="8"/>
      <c r="C306" s="8"/>
      <c r="D306" s="8"/>
      <c r="E306" s="8"/>
      <c r="F306" s="8"/>
      <c r="G306" s="8"/>
      <c r="H306" s="8"/>
    </row>
    <row r="307" customFormat="false" ht="18" hidden="false" customHeight="true" outlineLevel="0" collapsed="false">
      <c r="A307" s="9" t="s">
        <v>247</v>
      </c>
      <c r="B307" s="9"/>
      <c r="C307" s="9"/>
      <c r="D307" s="9"/>
      <c r="E307" s="9"/>
      <c r="F307" s="9"/>
      <c r="G307" s="9"/>
      <c r="H307" s="9"/>
    </row>
    <row r="308" customFormat="false" ht="18" hidden="false" customHeight="true" outlineLevel="0" collapsed="false">
      <c r="A308" s="10" t="s">
        <v>248</v>
      </c>
      <c r="B308" s="10"/>
      <c r="C308" s="11" t="str">
        <f aca="false">'01 ADMIN_ORDER'!A10</f>
        <v>145/10/9 (59)</v>
      </c>
      <c r="D308" s="11"/>
      <c r="E308" s="11"/>
      <c r="F308" s="11"/>
      <c r="G308" s="11"/>
      <c r="H308" s="11"/>
    </row>
    <row r="309" customFormat="false" ht="18" hidden="false" customHeight="true" outlineLevel="0" collapsed="false">
      <c r="A309" s="10" t="s">
        <v>249</v>
      </c>
      <c r="B309" s="10"/>
      <c r="C309" s="12" t="str">
        <f aca="false">'01 ADMIN_ORDER'!C10&amp;" / "&amp;'01 ADMIN_ORDER'!D10</f>
        <v>FRONTCOURT LOW / LA6606</v>
      </c>
      <c r="D309" s="12"/>
      <c r="E309" s="12"/>
      <c r="F309" s="12"/>
      <c r="G309" s="12"/>
      <c r="H309" s="12"/>
    </row>
    <row r="310" customFormat="false" ht="18" hidden="false" customHeight="true" outlineLevel="0" collapsed="false">
      <c r="A310" s="10" t="s">
        <v>250</v>
      </c>
      <c r="B310" s="10"/>
      <c r="C310" s="12" t="str">
        <f aca="false">'01 ADMIN_ORDER'!E10</f>
        <v>903279874 (FGT)</v>
      </c>
      <c r="D310" s="12"/>
      <c r="E310" s="12"/>
      <c r="F310" s="12"/>
      <c r="G310" s="12"/>
      <c r="H310" s="12"/>
    </row>
    <row r="311" customFormat="false" ht="27.75" hidden="false" customHeight="true" outlineLevel="0" collapsed="false">
      <c r="A311" s="10" t="s">
        <v>251</v>
      </c>
      <c r="B311" s="10"/>
      <c r="C311" s="12" t="str">
        <f aca="false">'01 ADMIN_ORDER'!H10</f>
        <v>CORE BLACK/CORE BLACK/GREY FIVE</v>
      </c>
      <c r="D311" s="12"/>
      <c r="E311" s="12"/>
      <c r="F311" s="12"/>
      <c r="G311" s="12"/>
      <c r="H311" s="12"/>
    </row>
    <row r="312" customFormat="false" ht="18" hidden="false" customHeight="true" outlineLevel="0" collapsed="false">
      <c r="A312" s="10" t="s">
        <v>252</v>
      </c>
      <c r="B312" s="10"/>
      <c r="C312" s="12" t="str">
        <f aca="false">'01 ADMIN_ORDER'!B10&amp;" / "&amp;'01 ADMIN_ORDER'!G10</f>
        <v>A-19 / Peru</v>
      </c>
      <c r="D312" s="12"/>
      <c r="E312" s="12"/>
      <c r="F312" s="12"/>
      <c r="G312" s="12"/>
      <c r="H312" s="12"/>
    </row>
    <row r="313" customFormat="false" ht="18" hidden="false" customHeight="true" outlineLevel="0" collapsed="false">
      <c r="A313" s="10" t="s">
        <v>253</v>
      </c>
      <c r="B313" s="10"/>
      <c r="C313" s="13" t="str">
        <f aca="false">'01 ADMIN_ORDER'!I10&amp;" / "&amp;IF('04 KESIAPAN'!B10="","UOM BELUM DIISI",'04 KESIAPAN'!B10)</f>
        <v>9 / UOM BELUM DIISI</v>
      </c>
      <c r="D313" s="13"/>
      <c r="E313" s="13"/>
      <c r="F313" s="13"/>
      <c r="G313" s="13"/>
      <c r="H313" s="13"/>
    </row>
    <row r="314" customFormat="false" ht="18" hidden="false" customHeight="true" outlineLevel="0" collapsed="false">
      <c r="A314" s="13" t="str">
        <f aca="false">IF('04 KESIAPAN'!C10="","SISTEM UKURAN BELUM DIISI",'04 KESIAPAN'!C10)&amp;" | Tanda -: "&amp;IF('04 KESIAPAN'!D10="","BELUM DIKONFIRMASI",'04 KESIAPAN'!D10)</f>
        <v>SISTEM UKURAN BELUM DIISI | Tanda -: BELUM DIKONFIRMASI</v>
      </c>
      <c r="B314" s="13"/>
      <c r="C314" s="13"/>
      <c r="D314" s="13"/>
      <c r="E314" s="13"/>
      <c r="F314" s="13"/>
      <c r="G314" s="13"/>
      <c r="H314" s="13"/>
    </row>
    <row r="315" customFormat="false" ht="18" hidden="false" customHeight="true" outlineLevel="0" collapsed="false">
      <c r="A315" s="7" t="s">
        <v>254</v>
      </c>
      <c r="B315" s="7"/>
      <c r="C315" s="7"/>
      <c r="D315" s="7"/>
      <c r="E315" s="7"/>
      <c r="F315" s="7"/>
      <c r="G315" s="7"/>
      <c r="H315" s="7"/>
    </row>
    <row r="316" customFormat="false" ht="18" hidden="false" customHeight="true" outlineLevel="0" collapsed="false">
      <c r="A316" s="14" t="s">
        <v>214</v>
      </c>
      <c r="B316" s="0" t="n">
        <f aca="false">'02 SIZE_RUN'!D10</f>
        <v>0</v>
      </c>
      <c r="C316" s="14" t="s">
        <v>215</v>
      </c>
      <c r="D316" s="0" t="n">
        <f aca="false">'02 SIZE_RUN'!E10</f>
        <v>0</v>
      </c>
      <c r="E316" s="14" t="s">
        <v>216</v>
      </c>
      <c r="F316" s="0" t="n">
        <f aca="false">'02 SIZE_RUN'!F10</f>
        <v>0</v>
      </c>
      <c r="G316" s="14" t="s">
        <v>217</v>
      </c>
      <c r="H316" s="0" t="n">
        <f aca="false">'02 SIZE_RUN'!G10</f>
        <v>0</v>
      </c>
    </row>
    <row r="317" customFormat="false" ht="18" hidden="false" customHeight="true" outlineLevel="0" collapsed="false">
      <c r="A317" s="14" t="s">
        <v>218</v>
      </c>
      <c r="B317" s="0" t="n">
        <f aca="false">'02 SIZE_RUN'!H10</f>
        <v>0</v>
      </c>
      <c r="C317" s="14" t="s">
        <v>219</v>
      </c>
      <c r="D317" s="0" t="n">
        <f aca="false">'02 SIZE_RUN'!I10</f>
        <v>0</v>
      </c>
      <c r="E317" s="14" t="s">
        <v>220</v>
      </c>
      <c r="F317" s="0" t="n">
        <f aca="false">'02 SIZE_RUN'!J10</f>
        <v>0</v>
      </c>
      <c r="G317" s="14" t="s">
        <v>221</v>
      </c>
      <c r="H317" s="0" t="n">
        <f aca="false">'02 SIZE_RUN'!K10</f>
        <v>0</v>
      </c>
    </row>
    <row r="318" customFormat="false" ht="18" hidden="false" customHeight="true" outlineLevel="0" collapsed="false">
      <c r="A318" s="14" t="s">
        <v>222</v>
      </c>
      <c r="B318" s="0" t="n">
        <f aca="false">'02 SIZE_RUN'!L10</f>
        <v>0</v>
      </c>
      <c r="C318" s="14" t="s">
        <v>223</v>
      </c>
      <c r="D318" s="0" t="n">
        <f aca="false">'02 SIZE_RUN'!M10</f>
        <v>0</v>
      </c>
      <c r="E318" s="14" t="s">
        <v>224</v>
      </c>
      <c r="F318" s="0" t="n">
        <f aca="false">'02 SIZE_RUN'!N10</f>
        <v>0</v>
      </c>
      <c r="G318" s="14" t="s">
        <v>225</v>
      </c>
      <c r="H318" s="0" t="n">
        <f aca="false">'02 SIZE_RUN'!O10</f>
        <v>9</v>
      </c>
    </row>
    <row r="319" customFormat="false" ht="18" hidden="false" customHeight="true" outlineLevel="0" collapsed="false">
      <c r="A319" s="14" t="s">
        <v>226</v>
      </c>
      <c r="B319" s="0" t="n">
        <f aca="false">'02 SIZE_RUN'!P10</f>
        <v>0</v>
      </c>
      <c r="C319" s="14" t="s">
        <v>227</v>
      </c>
      <c r="D319" s="0" t="n">
        <f aca="false">'02 SIZE_RUN'!Q10</f>
        <v>0</v>
      </c>
      <c r="E319" s="14" t="s">
        <v>228</v>
      </c>
      <c r="F319" s="0" t="n">
        <f aca="false">'02 SIZE_RUN'!R10</f>
        <v>0</v>
      </c>
      <c r="G319" s="14" t="s">
        <v>229</v>
      </c>
      <c r="H319" s="0" t="n">
        <f aca="false">'02 SIZE_RUN'!S10</f>
        <v>0</v>
      </c>
    </row>
    <row r="320" customFormat="false" ht="18" hidden="false" customHeight="true" outlineLevel="0" collapsed="false">
      <c r="A320" s="14" t="s">
        <v>230</v>
      </c>
      <c r="B320" s="0" t="n">
        <f aca="false">'02 SIZE_RUN'!T10</f>
        <v>0</v>
      </c>
      <c r="C320" s="14" t="s">
        <v>231</v>
      </c>
      <c r="D320" s="0" t="n">
        <f aca="false">'02 SIZE_RUN'!U10</f>
        <v>0</v>
      </c>
      <c r="E320" s="14" t="s">
        <v>232</v>
      </c>
      <c r="F320" s="0" t="n">
        <f aca="false">'02 SIZE_RUN'!V10</f>
        <v>0</v>
      </c>
      <c r="G320" s="14" t="s">
        <v>233</v>
      </c>
      <c r="H320" s="0" t="n">
        <f aca="false">'02 SIZE_RUN'!W10</f>
        <v>0</v>
      </c>
    </row>
    <row r="321" customFormat="false" ht="18" hidden="false" customHeight="true" outlineLevel="0" collapsed="false">
      <c r="A321" s="14" t="s">
        <v>234</v>
      </c>
      <c r="B321" s="0" t="n">
        <f aca="false">'02 SIZE_RUN'!X10</f>
        <v>0</v>
      </c>
      <c r="C321" s="14" t="s">
        <v>235</v>
      </c>
      <c r="D321" s="0" t="n">
        <f aca="false">'02 SIZE_RUN'!Y10</f>
        <v>0</v>
      </c>
      <c r="E321" s="14" t="s">
        <v>236</v>
      </c>
      <c r="F321" s="0" t="n">
        <f aca="false">'02 SIZE_RUN'!Z10</f>
        <v>0</v>
      </c>
      <c r="G321" s="14" t="s">
        <v>237</v>
      </c>
      <c r="H321" s="0" t="n">
        <f aca="false">'02 SIZE_RUN'!AA10</f>
        <v>0</v>
      </c>
    </row>
    <row r="322" customFormat="false" ht="18" hidden="false" customHeight="true" outlineLevel="0" collapsed="false">
      <c r="A322" s="14" t="s">
        <v>238</v>
      </c>
      <c r="B322" s="0" t="n">
        <f aca="false">'02 SIZE_RUN'!AB10</f>
        <v>0</v>
      </c>
      <c r="C322" s="14" t="s">
        <v>239</v>
      </c>
      <c r="D322" s="0" t="n">
        <f aca="false">'02 SIZE_RUN'!AC10</f>
        <v>0</v>
      </c>
      <c r="E322" s="14" t="s">
        <v>240</v>
      </c>
      <c r="F322" s="0" t="n">
        <f aca="false">'02 SIZE_RUN'!AD10</f>
        <v>0</v>
      </c>
      <c r="G322" s="14" t="s">
        <v>241</v>
      </c>
      <c r="H322" s="0" t="n">
        <f aca="false">'02 SIZE_RUN'!AE10</f>
        <v>0</v>
      </c>
    </row>
    <row r="323" customFormat="false" ht="18" hidden="false" customHeight="true" outlineLevel="0" collapsed="false">
      <c r="A323" s="14" t="s">
        <v>242</v>
      </c>
      <c r="B323" s="0" t="n">
        <f aca="false">'02 SIZE_RUN'!AF10</f>
        <v>0</v>
      </c>
    </row>
    <row r="324" customFormat="false" ht="18" hidden="false" customHeight="true" outlineLevel="0" collapsed="false">
      <c r="A324" s="10" t="str">
        <f aca="false">"TOTAL SIZE: "&amp;'02 SIZE_RUN'!AG10&amp;" | SELISIH: "&amp;'02 SIZE_RUN'!AH10</f>
        <v>TOTAL SIZE: 9 | SELISIH: 0</v>
      </c>
      <c r="B324" s="10"/>
      <c r="C324" s="10"/>
      <c r="D324" s="10"/>
      <c r="E324" s="10"/>
      <c r="F324" s="10"/>
      <c r="G324" s="10"/>
      <c r="H324" s="10"/>
    </row>
    <row r="325" customFormat="false" ht="18" hidden="false" customHeight="true" outlineLevel="0" collapsed="false">
      <c r="A325" s="10" t="s">
        <v>255</v>
      </c>
      <c r="B325" s="10"/>
      <c r="C325" s="10"/>
      <c r="D325" s="13" t="str">
        <f aca="false">IF('01 ADMIN_ORDER'!P10="","BELUM DITETAPKAN",TEXT('01 ADMIN_ORDER'!P10,"dd mmm yyyy"))</f>
        <v>BELUM DITETAPKAN</v>
      </c>
      <c r="E325" s="13"/>
      <c r="F325" s="13"/>
      <c r="G325" s="13"/>
      <c r="H325" s="13"/>
    </row>
    <row r="326" customFormat="false" ht="18" hidden="false" customHeight="true" outlineLevel="0" collapsed="false">
      <c r="A326" s="10" t="s">
        <v>256</v>
      </c>
      <c r="B326" s="10"/>
      <c r="C326" s="10"/>
      <c r="D326" s="13" t="str">
        <f aca="false">IF('01 ADMIN_ORDER'!Q10="","BELUM DITETAPKAN",TEXT('01 ADMIN_ORDER'!Q10,"dd mmm yyyy"))</f>
        <v>BELUM DITETAPKAN</v>
      </c>
      <c r="E326" s="13"/>
      <c r="F326" s="13"/>
      <c r="G326" s="13"/>
      <c r="H326" s="13"/>
    </row>
    <row r="327" customFormat="false" ht="25.5" hidden="false" customHeight="true" outlineLevel="0" collapsed="false">
      <c r="A327" s="12" t="str">
        <f aca="false">"REFERENSI ASSEMBLY (bukan target upper): "&amp;TEXT('01 ADMIN_ORDER'!M10,"dd mmm yyyy")&amp;" - "&amp;TEXT('01 ADMIN_ORDER'!N10,"dd mmm yyyy")</f>
        <v>REFERENSI ASSEMBLY (bukan target upper): 07 Oct 2026 - 07 Oct 2026</v>
      </c>
      <c r="B327" s="12"/>
      <c r="C327" s="12"/>
      <c r="D327" s="12"/>
      <c r="E327" s="12"/>
      <c r="F327" s="12"/>
      <c r="G327" s="12"/>
      <c r="H327" s="12"/>
    </row>
    <row r="328" customFormat="false" ht="18" hidden="false" customHeight="true" outlineLevel="0" collapsed="false">
      <c r="A328" s="10" t="s">
        <v>257</v>
      </c>
      <c r="B328" s="10"/>
      <c r="C328" s="10"/>
      <c r="D328" s="13" t="str">
        <f aca="false">IF('04 KESIAPAN'!G10="","BELUM DIISI",'04 KESIAPAN'!G10)</f>
        <v>BELUM DIISI</v>
      </c>
      <c r="E328" s="13"/>
      <c r="F328" s="13"/>
      <c r="G328" s="13"/>
      <c r="H328" s="13"/>
    </row>
    <row r="329" customFormat="false" ht="18" hidden="false" customHeight="true" outlineLevel="0" collapsed="false">
      <c r="A329" s="10" t="s">
        <v>258</v>
      </c>
      <c r="B329" s="10"/>
      <c r="C329" s="10"/>
      <c r="D329" s="13" t="str">
        <f aca="false">IF('04 KESIAPAN'!H10="","BELUM DIISI",'04 KESIAPAN'!H10)</f>
        <v>BELUM DIISI</v>
      </c>
      <c r="E329" s="13"/>
      <c r="F329" s="13"/>
      <c r="G329" s="13"/>
      <c r="H329" s="13"/>
    </row>
    <row r="330" customFormat="false" ht="18" hidden="false" customHeight="true" outlineLevel="0" collapsed="false">
      <c r="A330" s="10" t="s">
        <v>259</v>
      </c>
      <c r="B330" s="10"/>
      <c r="C330" s="10"/>
      <c r="D330" s="13" t="str">
        <f aca="false">IF('04 KESIAPAN'!I10="","BELUM DIISI",'04 KESIAPAN'!I10)</f>
        <v>BELUM DIISI</v>
      </c>
      <c r="E330" s="13"/>
      <c r="F330" s="13"/>
      <c r="G330" s="13"/>
      <c r="H330" s="13"/>
    </row>
    <row r="331" customFormat="false" ht="18" hidden="false" customHeight="true" outlineLevel="0" collapsed="false">
      <c r="A331" s="10" t="s">
        <v>260</v>
      </c>
      <c r="B331" s="10"/>
      <c r="C331" s="10"/>
      <c r="D331" s="13" t="str">
        <f aca="false">IF('04 KESIAPAN'!K10="","BELUM DIISI",'04 KESIAPAN'!K10)</f>
        <v>BELUM DIISI</v>
      </c>
      <c r="E331" s="13"/>
      <c r="F331" s="13"/>
      <c r="G331" s="13"/>
      <c r="H331" s="13"/>
    </row>
    <row r="332" customFormat="false" ht="18" hidden="false" customHeight="true" outlineLevel="0" collapsed="false">
      <c r="A332" s="10" t="s">
        <v>261</v>
      </c>
      <c r="B332" s="10"/>
      <c r="C332" s="10"/>
      <c r="D332" s="13" t="str">
        <f aca="false">IF('04 KESIAPAN'!L10="","BELUM DIISI",'04 KESIAPAN'!L10)</f>
        <v>BELUM DIISI</v>
      </c>
      <c r="E332" s="13"/>
      <c r="F332" s="13"/>
      <c r="G332" s="13"/>
      <c r="H332" s="13"/>
    </row>
    <row r="333" customFormat="false" ht="18" hidden="false" customHeight="true" outlineLevel="0" collapsed="false">
      <c r="A333" s="10" t="s">
        <v>262</v>
      </c>
      <c r="B333" s="10"/>
      <c r="C333" s="10"/>
      <c r="D333" s="13" t="str">
        <f aca="false">IF('04 KESIAPAN'!N10="","BELUM DIISI",'04 KESIAPAN'!N10)</f>
        <v>BELUM DIISI</v>
      </c>
      <c r="E333" s="13"/>
      <c r="F333" s="13"/>
      <c r="G333" s="13"/>
      <c r="H333" s="13"/>
    </row>
    <row r="334" customFormat="false" ht="18" hidden="false" customHeight="true" outlineLevel="0" collapsed="false">
      <c r="A334" s="10" t="s">
        <v>263</v>
      </c>
      <c r="B334" s="10"/>
      <c r="C334" s="10"/>
      <c r="D334" s="13" t="str">
        <f aca="false">IF('04 KESIAPAN'!P10="","BELUM DIISI",'04 KESIAPAN'!P10)</f>
        <v>BELUM DIISI</v>
      </c>
      <c r="E334" s="13"/>
      <c r="F334" s="13"/>
      <c r="G334" s="13"/>
      <c r="H334" s="13"/>
    </row>
    <row r="335" customFormat="false" ht="18" hidden="false" customHeight="true" outlineLevel="0" collapsed="false">
      <c r="A335" s="7" t="s">
        <v>264</v>
      </c>
      <c r="B335" s="7"/>
      <c r="C335" s="7"/>
      <c r="D335" s="7"/>
      <c r="E335" s="7"/>
      <c r="F335" s="7"/>
      <c r="G335" s="7"/>
      <c r="H335" s="7"/>
    </row>
    <row r="336" customFormat="false" ht="18" hidden="false" customHeight="true" outlineLevel="0" collapsed="false">
      <c r="A336" s="13"/>
      <c r="B336" s="13"/>
      <c r="C336" s="13"/>
      <c r="D336" s="13"/>
      <c r="E336" s="13"/>
      <c r="F336" s="13"/>
      <c r="G336" s="13"/>
      <c r="H336" s="13"/>
    </row>
    <row r="337" customFormat="false" ht="18" hidden="false" customHeight="true" outlineLevel="0" collapsed="false">
      <c r="A337" s="13"/>
      <c r="B337" s="13"/>
      <c r="C337" s="13"/>
      <c r="D337" s="13"/>
      <c r="E337" s="13"/>
      <c r="F337" s="13"/>
      <c r="G337" s="13"/>
      <c r="H337" s="13"/>
    </row>
    <row r="338" customFormat="false" ht="18" hidden="false" customHeight="true" outlineLevel="0" collapsed="false">
      <c r="A338" s="13"/>
      <c r="B338" s="13"/>
      <c r="C338" s="13"/>
      <c r="D338" s="13"/>
      <c r="E338" s="13"/>
      <c r="F338" s="13"/>
      <c r="G338" s="13"/>
      <c r="H338" s="13"/>
    </row>
    <row r="339" customFormat="false" ht="18" hidden="false" customHeight="true" outlineLevel="0" collapsed="false">
      <c r="A339" s="12" t="s">
        <v>265</v>
      </c>
      <c r="B339" s="12"/>
      <c r="C339" s="12"/>
      <c r="D339" s="12"/>
      <c r="E339" s="12" t="s">
        <v>266</v>
      </c>
      <c r="F339" s="12"/>
      <c r="G339" s="12"/>
      <c r="H339" s="12"/>
    </row>
    <row r="340" customFormat="false" ht="18" hidden="false" customHeight="true" outlineLevel="0" collapsed="false">
      <c r="A340" s="12" t="s">
        <v>275</v>
      </c>
      <c r="B340" s="12"/>
      <c r="C340" s="12"/>
      <c r="D340" s="12"/>
      <c r="E340" s="12"/>
      <c r="F340" s="12"/>
      <c r="G340" s="12"/>
      <c r="H340" s="12"/>
    </row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25.5" hidden="false" customHeight="true" outlineLevel="0" collapsed="false">
      <c r="A343" s="7" t="s">
        <v>246</v>
      </c>
      <c r="B343" s="7"/>
      <c r="C343" s="7"/>
      <c r="D343" s="7"/>
      <c r="E343" s="7"/>
      <c r="F343" s="7"/>
      <c r="G343" s="7"/>
      <c r="H343" s="7"/>
    </row>
    <row r="344" customFormat="false" ht="18" hidden="false" customHeight="true" outlineLevel="0" collapsed="false">
      <c r="A344" s="8" t="str">
        <f aca="false">'01 ADMIN_ORDER'!R11</f>
        <v>DRAFT - PERLU VERIFIKASI</v>
      </c>
      <c r="B344" s="8"/>
      <c r="C344" s="8"/>
      <c r="D344" s="8"/>
      <c r="E344" s="8"/>
      <c r="F344" s="8"/>
      <c r="G344" s="8"/>
      <c r="H344" s="8"/>
    </row>
    <row r="345" customFormat="false" ht="18" hidden="false" customHeight="true" outlineLevel="0" collapsed="false">
      <c r="A345" s="9" t="s">
        <v>247</v>
      </c>
      <c r="B345" s="9"/>
      <c r="C345" s="9"/>
      <c r="D345" s="9"/>
      <c r="E345" s="9"/>
      <c r="F345" s="9"/>
      <c r="G345" s="9"/>
      <c r="H345" s="9"/>
    </row>
    <row r="346" customFormat="false" ht="18" hidden="false" customHeight="true" outlineLevel="0" collapsed="false">
      <c r="A346" s="10" t="s">
        <v>248</v>
      </c>
      <c r="B346" s="10"/>
      <c r="C346" s="11" t="str">
        <f aca="false">'01 ADMIN_ORDER'!A11</f>
        <v>146/10/10 (59)</v>
      </c>
      <c r="D346" s="11"/>
      <c r="E346" s="11"/>
      <c r="F346" s="11"/>
      <c r="G346" s="11"/>
      <c r="H346" s="11"/>
    </row>
    <row r="347" customFormat="false" ht="18" hidden="false" customHeight="true" outlineLevel="0" collapsed="false">
      <c r="A347" s="10" t="s">
        <v>249</v>
      </c>
      <c r="B347" s="10"/>
      <c r="C347" s="12" t="str">
        <f aca="false">'01 ADMIN_ORDER'!C11&amp;" / "&amp;'01 ADMIN_ORDER'!D11</f>
        <v>FRONTCOURT LOW / LA6606</v>
      </c>
      <c r="D347" s="12"/>
      <c r="E347" s="12"/>
      <c r="F347" s="12"/>
      <c r="G347" s="12"/>
      <c r="H347" s="12"/>
    </row>
    <row r="348" customFormat="false" ht="18" hidden="false" customHeight="true" outlineLevel="0" collapsed="false">
      <c r="A348" s="10" t="s">
        <v>250</v>
      </c>
      <c r="B348" s="10"/>
      <c r="C348" s="12" t="str">
        <f aca="false">'01 ADMIN_ORDER'!E11</f>
        <v>903284277</v>
      </c>
      <c r="D348" s="12"/>
      <c r="E348" s="12"/>
      <c r="F348" s="12"/>
      <c r="G348" s="12"/>
      <c r="H348" s="12"/>
    </row>
    <row r="349" customFormat="false" ht="27.75" hidden="false" customHeight="true" outlineLevel="0" collapsed="false">
      <c r="A349" s="10" t="s">
        <v>251</v>
      </c>
      <c r="B349" s="10"/>
      <c r="C349" s="12" t="str">
        <f aca="false">'01 ADMIN_ORDER'!H11</f>
        <v>CORE BLACK/CORE BLACK/GREY FIVE</v>
      </c>
      <c r="D349" s="12"/>
      <c r="E349" s="12"/>
      <c r="F349" s="12"/>
      <c r="G349" s="12"/>
      <c r="H349" s="12"/>
    </row>
    <row r="350" customFormat="false" ht="18" hidden="false" customHeight="true" outlineLevel="0" collapsed="false">
      <c r="A350" s="10" t="s">
        <v>252</v>
      </c>
      <c r="B350" s="10"/>
      <c r="C350" s="12" t="str">
        <f aca="false">'01 ADMIN_ORDER'!B11&amp;" / "&amp;'01 ADMIN_ORDER'!G11</f>
        <v>A-19 / Germany (Zalando)</v>
      </c>
      <c r="D350" s="12"/>
      <c r="E350" s="12"/>
      <c r="F350" s="12"/>
      <c r="G350" s="12"/>
      <c r="H350" s="12"/>
    </row>
    <row r="351" customFormat="false" ht="18" hidden="false" customHeight="true" outlineLevel="0" collapsed="false">
      <c r="A351" s="10" t="s">
        <v>253</v>
      </c>
      <c r="B351" s="10"/>
      <c r="C351" s="13" t="str">
        <f aca="false">'01 ADMIN_ORDER'!I11&amp;" / "&amp;IF('04 KESIAPAN'!B11="","UOM BELUM DIISI",'04 KESIAPAN'!B11)</f>
        <v>645 / UOM BELUM DIISI</v>
      </c>
      <c r="D351" s="13"/>
      <c r="E351" s="13"/>
      <c r="F351" s="13"/>
      <c r="G351" s="13"/>
      <c r="H351" s="13"/>
    </row>
    <row r="352" customFormat="false" ht="18" hidden="false" customHeight="true" outlineLevel="0" collapsed="false">
      <c r="A352" s="13" t="str">
        <f aca="false">IF('04 KESIAPAN'!C11="","SISTEM UKURAN BELUM DIISI",'04 KESIAPAN'!C11)&amp;" | Tanda -: "&amp;IF('04 KESIAPAN'!D11="","BELUM DIKONFIRMASI",'04 KESIAPAN'!D11)</f>
        <v>SISTEM UKURAN BELUM DIISI | Tanda -: BELUM DIKONFIRMASI</v>
      </c>
      <c r="B352" s="13"/>
      <c r="C352" s="13"/>
      <c r="D352" s="13"/>
      <c r="E352" s="13"/>
      <c r="F352" s="13"/>
      <c r="G352" s="13"/>
      <c r="H352" s="13"/>
    </row>
    <row r="353" customFormat="false" ht="18" hidden="false" customHeight="true" outlineLevel="0" collapsed="false">
      <c r="A353" s="7" t="s">
        <v>254</v>
      </c>
      <c r="B353" s="7"/>
      <c r="C353" s="7"/>
      <c r="D353" s="7"/>
      <c r="E353" s="7"/>
      <c r="F353" s="7"/>
      <c r="G353" s="7"/>
      <c r="H353" s="7"/>
    </row>
    <row r="354" customFormat="false" ht="18" hidden="false" customHeight="true" outlineLevel="0" collapsed="false">
      <c r="A354" s="14" t="s">
        <v>214</v>
      </c>
      <c r="B354" s="0" t="n">
        <f aca="false">'02 SIZE_RUN'!D11</f>
        <v>1</v>
      </c>
      <c r="C354" s="14" t="s">
        <v>215</v>
      </c>
      <c r="D354" s="0" t="n">
        <f aca="false">'02 SIZE_RUN'!E11</f>
        <v>12</v>
      </c>
      <c r="E354" s="14" t="s">
        <v>216</v>
      </c>
      <c r="F354" s="0" t="n">
        <f aca="false">'02 SIZE_RUN'!F11</f>
        <v>19</v>
      </c>
      <c r="G354" s="14" t="s">
        <v>217</v>
      </c>
      <c r="H354" s="0" t="n">
        <f aca="false">'02 SIZE_RUN'!G11</f>
        <v>33</v>
      </c>
    </row>
    <row r="355" customFormat="false" ht="18" hidden="false" customHeight="true" outlineLevel="0" collapsed="false">
      <c r="A355" s="14" t="s">
        <v>218</v>
      </c>
      <c r="B355" s="0" t="n">
        <f aca="false">'02 SIZE_RUN'!H11</f>
        <v>52</v>
      </c>
      <c r="C355" s="14" t="s">
        <v>219</v>
      </c>
      <c r="D355" s="0" t="n">
        <f aca="false">'02 SIZE_RUN'!I11</f>
        <v>57</v>
      </c>
      <c r="E355" s="14" t="s">
        <v>220</v>
      </c>
      <c r="F355" s="0" t="n">
        <f aca="false">'02 SIZE_RUN'!J11</f>
        <v>93</v>
      </c>
      <c r="G355" s="14" t="s">
        <v>221</v>
      </c>
      <c r="H355" s="0" t="n">
        <f aca="false">'02 SIZE_RUN'!K11</f>
        <v>49</v>
      </c>
    </row>
    <row r="356" customFormat="false" ht="18" hidden="false" customHeight="true" outlineLevel="0" collapsed="false">
      <c r="A356" s="14" t="s">
        <v>222</v>
      </c>
      <c r="B356" s="0" t="n">
        <f aca="false">'02 SIZE_RUN'!L11</f>
        <v>8</v>
      </c>
      <c r="C356" s="14" t="s">
        <v>223</v>
      </c>
      <c r="D356" s="0" t="n">
        <f aca="false">'02 SIZE_RUN'!M11</f>
        <v>9</v>
      </c>
      <c r="E356" s="14" t="s">
        <v>224</v>
      </c>
      <c r="F356" s="0" t="n">
        <f aca="false">'02 SIZE_RUN'!N11</f>
        <v>26</v>
      </c>
      <c r="G356" s="14" t="s">
        <v>225</v>
      </c>
      <c r="H356" s="0" t="n">
        <f aca="false">'02 SIZE_RUN'!O11</f>
        <v>23</v>
      </c>
    </row>
    <row r="357" customFormat="false" ht="18" hidden="false" customHeight="true" outlineLevel="0" collapsed="false">
      <c r="A357" s="14" t="s">
        <v>226</v>
      </c>
      <c r="B357" s="0" t="n">
        <f aca="false">'02 SIZE_RUN'!P11</f>
        <v>31</v>
      </c>
      <c r="C357" s="14" t="s">
        <v>227</v>
      </c>
      <c r="D357" s="0" t="n">
        <f aca="false">'02 SIZE_RUN'!Q11</f>
        <v>15</v>
      </c>
      <c r="E357" s="14" t="s">
        <v>228</v>
      </c>
      <c r="F357" s="0" t="n">
        <f aca="false">'02 SIZE_RUN'!R11</f>
        <v>8</v>
      </c>
      <c r="G357" s="14" t="s">
        <v>229</v>
      </c>
      <c r="H357" s="0" t="n">
        <f aca="false">'02 SIZE_RUN'!S11</f>
        <v>5</v>
      </c>
    </row>
    <row r="358" customFormat="false" ht="18" hidden="false" customHeight="true" outlineLevel="0" collapsed="false">
      <c r="A358" s="14" t="s">
        <v>230</v>
      </c>
      <c r="B358" s="0" t="n">
        <f aca="false">'02 SIZE_RUN'!T11</f>
        <v>4</v>
      </c>
      <c r="C358" s="14" t="s">
        <v>231</v>
      </c>
      <c r="D358" s="0" t="n">
        <f aca="false">'02 SIZE_RUN'!U11</f>
        <v>71</v>
      </c>
      <c r="E358" s="14" t="s">
        <v>232</v>
      </c>
      <c r="F358" s="0" t="n">
        <f aca="false">'02 SIZE_RUN'!V11</f>
        <v>71</v>
      </c>
      <c r="G358" s="14" t="s">
        <v>233</v>
      </c>
      <c r="H358" s="0" t="n">
        <f aca="false">'02 SIZE_RUN'!W11</f>
        <v>37</v>
      </c>
    </row>
    <row r="359" customFormat="false" ht="18" hidden="false" customHeight="true" outlineLevel="0" collapsed="false">
      <c r="A359" s="14" t="s">
        <v>234</v>
      </c>
      <c r="B359" s="0" t="n">
        <f aca="false">'02 SIZE_RUN'!X11</f>
        <v>0</v>
      </c>
      <c r="C359" s="14" t="s">
        <v>235</v>
      </c>
      <c r="D359" s="0" t="n">
        <f aca="false">'02 SIZE_RUN'!Y11</f>
        <v>21</v>
      </c>
      <c r="E359" s="14" t="s">
        <v>236</v>
      </c>
      <c r="F359" s="0" t="n">
        <f aca="false">'02 SIZE_RUN'!Z11</f>
        <v>0</v>
      </c>
      <c r="G359" s="14" t="s">
        <v>237</v>
      </c>
      <c r="H359" s="0" t="n">
        <f aca="false">'02 SIZE_RUN'!AA11</f>
        <v>0</v>
      </c>
    </row>
    <row r="360" customFormat="false" ht="18" hidden="false" customHeight="true" outlineLevel="0" collapsed="false">
      <c r="A360" s="14" t="s">
        <v>238</v>
      </c>
      <c r="B360" s="0" t="n">
        <f aca="false">'02 SIZE_RUN'!AB11</f>
        <v>0</v>
      </c>
      <c r="C360" s="14" t="s">
        <v>239</v>
      </c>
      <c r="D360" s="0" t="n">
        <f aca="false">'02 SIZE_RUN'!AC11</f>
        <v>0</v>
      </c>
      <c r="E360" s="14" t="s">
        <v>240</v>
      </c>
      <c r="F360" s="0" t="n">
        <f aca="false">'02 SIZE_RUN'!AD11</f>
        <v>0</v>
      </c>
      <c r="G360" s="14" t="s">
        <v>241</v>
      </c>
      <c r="H360" s="0" t="n">
        <f aca="false">'02 SIZE_RUN'!AE11</f>
        <v>0</v>
      </c>
    </row>
    <row r="361" customFormat="false" ht="18" hidden="false" customHeight="true" outlineLevel="0" collapsed="false">
      <c r="A361" s="14" t="s">
        <v>242</v>
      </c>
      <c r="B361" s="0" t="n">
        <f aca="false">'02 SIZE_RUN'!AF11</f>
        <v>0</v>
      </c>
    </row>
    <row r="362" customFormat="false" ht="18" hidden="false" customHeight="true" outlineLevel="0" collapsed="false">
      <c r="A362" s="10" t="str">
        <f aca="false">"TOTAL SIZE: "&amp;'02 SIZE_RUN'!AG11&amp;" | SELISIH: "&amp;'02 SIZE_RUN'!AH11</f>
        <v>TOTAL SIZE: 645 | SELISIH: 0</v>
      </c>
      <c r="B362" s="10"/>
      <c r="C362" s="10"/>
      <c r="D362" s="10"/>
      <c r="E362" s="10"/>
      <c r="F362" s="10"/>
      <c r="G362" s="10"/>
      <c r="H362" s="10"/>
    </row>
    <row r="363" customFormat="false" ht="18" hidden="false" customHeight="true" outlineLevel="0" collapsed="false">
      <c r="A363" s="10" t="s">
        <v>255</v>
      </c>
      <c r="B363" s="10"/>
      <c r="C363" s="10"/>
      <c r="D363" s="13" t="str">
        <f aca="false">IF('01 ADMIN_ORDER'!P11="","BELUM DITETAPKAN",TEXT('01 ADMIN_ORDER'!P11,"dd mmm yyyy"))</f>
        <v>BELUM DITETAPKAN</v>
      </c>
      <c r="E363" s="13"/>
      <c r="F363" s="13"/>
      <c r="G363" s="13"/>
      <c r="H363" s="13"/>
    </row>
    <row r="364" customFormat="false" ht="18" hidden="false" customHeight="true" outlineLevel="0" collapsed="false">
      <c r="A364" s="10" t="s">
        <v>256</v>
      </c>
      <c r="B364" s="10"/>
      <c r="C364" s="10"/>
      <c r="D364" s="13" t="str">
        <f aca="false">IF('01 ADMIN_ORDER'!Q11="","BELUM DITETAPKAN",TEXT('01 ADMIN_ORDER'!Q11,"dd mmm yyyy"))</f>
        <v>BELUM DITETAPKAN</v>
      </c>
      <c r="E364" s="13"/>
      <c r="F364" s="13"/>
      <c r="G364" s="13"/>
      <c r="H364" s="13"/>
    </row>
    <row r="365" customFormat="false" ht="25.5" hidden="false" customHeight="true" outlineLevel="0" collapsed="false">
      <c r="A365" s="12" t="str">
        <f aca="false">"REFERENSI ASSEMBLY (bukan target upper): "&amp;TEXT('01 ADMIN_ORDER'!M11,"dd mmm yyyy")&amp;" - "&amp;TEXT('01 ADMIN_ORDER'!N11,"dd mmm yyyy")</f>
        <v>REFERENSI ASSEMBLY (bukan target upper): 07 Oct 2026 - 08 Oct 2026</v>
      </c>
      <c r="B365" s="12"/>
      <c r="C365" s="12"/>
      <c r="D365" s="12"/>
      <c r="E365" s="12"/>
      <c r="F365" s="12"/>
      <c r="G365" s="12"/>
      <c r="H365" s="12"/>
    </row>
    <row r="366" customFormat="false" ht="18" hidden="false" customHeight="true" outlineLevel="0" collapsed="false">
      <c r="A366" s="10" t="s">
        <v>257</v>
      </c>
      <c r="B366" s="10"/>
      <c r="C366" s="10"/>
      <c r="D366" s="13" t="str">
        <f aca="false">IF('04 KESIAPAN'!G11="","BELUM DIISI",'04 KESIAPAN'!G11)</f>
        <v>BELUM DIISI</v>
      </c>
      <c r="E366" s="13"/>
      <c r="F366" s="13"/>
      <c r="G366" s="13"/>
      <c r="H366" s="13"/>
    </row>
    <row r="367" customFormat="false" ht="18" hidden="false" customHeight="true" outlineLevel="0" collapsed="false">
      <c r="A367" s="10" t="s">
        <v>258</v>
      </c>
      <c r="B367" s="10"/>
      <c r="C367" s="10"/>
      <c r="D367" s="13" t="str">
        <f aca="false">IF('04 KESIAPAN'!H11="","BELUM DIISI",'04 KESIAPAN'!H11)</f>
        <v>BELUM DIISI</v>
      </c>
      <c r="E367" s="13"/>
      <c r="F367" s="13"/>
      <c r="G367" s="13"/>
      <c r="H367" s="13"/>
    </row>
    <row r="368" customFormat="false" ht="18" hidden="false" customHeight="true" outlineLevel="0" collapsed="false">
      <c r="A368" s="10" t="s">
        <v>259</v>
      </c>
      <c r="B368" s="10"/>
      <c r="C368" s="10"/>
      <c r="D368" s="13" t="str">
        <f aca="false">IF('04 KESIAPAN'!I11="","BELUM DIISI",'04 KESIAPAN'!I11)</f>
        <v>BELUM DIISI</v>
      </c>
      <c r="E368" s="13"/>
      <c r="F368" s="13"/>
      <c r="G368" s="13"/>
      <c r="H368" s="13"/>
    </row>
    <row r="369" customFormat="false" ht="18" hidden="false" customHeight="true" outlineLevel="0" collapsed="false">
      <c r="A369" s="10" t="s">
        <v>260</v>
      </c>
      <c r="B369" s="10"/>
      <c r="C369" s="10"/>
      <c r="D369" s="13" t="str">
        <f aca="false">IF('04 KESIAPAN'!K11="","BELUM DIISI",'04 KESIAPAN'!K11)</f>
        <v>BELUM DIISI</v>
      </c>
      <c r="E369" s="13"/>
      <c r="F369" s="13"/>
      <c r="G369" s="13"/>
      <c r="H369" s="13"/>
    </row>
    <row r="370" customFormat="false" ht="18" hidden="false" customHeight="true" outlineLevel="0" collapsed="false">
      <c r="A370" s="10" t="s">
        <v>261</v>
      </c>
      <c r="B370" s="10"/>
      <c r="C370" s="10"/>
      <c r="D370" s="13" t="str">
        <f aca="false">IF('04 KESIAPAN'!L11="","BELUM DIISI",'04 KESIAPAN'!L11)</f>
        <v>BELUM DIISI</v>
      </c>
      <c r="E370" s="13"/>
      <c r="F370" s="13"/>
      <c r="G370" s="13"/>
      <c r="H370" s="13"/>
    </row>
    <row r="371" customFormat="false" ht="18" hidden="false" customHeight="true" outlineLevel="0" collapsed="false">
      <c r="A371" s="10" t="s">
        <v>262</v>
      </c>
      <c r="B371" s="10"/>
      <c r="C371" s="10"/>
      <c r="D371" s="13" t="str">
        <f aca="false">IF('04 KESIAPAN'!N11="","BELUM DIISI",'04 KESIAPAN'!N11)</f>
        <v>BELUM DIISI</v>
      </c>
      <c r="E371" s="13"/>
      <c r="F371" s="13"/>
      <c r="G371" s="13"/>
      <c r="H371" s="13"/>
    </row>
    <row r="372" customFormat="false" ht="18" hidden="false" customHeight="true" outlineLevel="0" collapsed="false">
      <c r="A372" s="10" t="s">
        <v>263</v>
      </c>
      <c r="B372" s="10"/>
      <c r="C372" s="10"/>
      <c r="D372" s="13" t="str">
        <f aca="false">IF('04 KESIAPAN'!P11="","BELUM DIISI",'04 KESIAPAN'!P11)</f>
        <v>BELUM DIISI</v>
      </c>
      <c r="E372" s="13"/>
      <c r="F372" s="13"/>
      <c r="G372" s="13"/>
      <c r="H372" s="13"/>
    </row>
    <row r="373" customFormat="false" ht="18" hidden="false" customHeight="true" outlineLevel="0" collapsed="false">
      <c r="A373" s="7" t="s">
        <v>264</v>
      </c>
      <c r="B373" s="7"/>
      <c r="C373" s="7"/>
      <c r="D373" s="7"/>
      <c r="E373" s="7"/>
      <c r="F373" s="7"/>
      <c r="G373" s="7"/>
      <c r="H373" s="7"/>
    </row>
    <row r="374" customFormat="false" ht="18" hidden="false" customHeight="true" outlineLevel="0" collapsed="false">
      <c r="A374" s="13"/>
      <c r="B374" s="13"/>
      <c r="C374" s="13"/>
      <c r="D374" s="13"/>
      <c r="E374" s="13"/>
      <c r="F374" s="13"/>
      <c r="G374" s="13"/>
      <c r="H374" s="13"/>
    </row>
    <row r="375" customFormat="false" ht="18" hidden="false" customHeight="true" outlineLevel="0" collapsed="false">
      <c r="A375" s="13"/>
      <c r="B375" s="13"/>
      <c r="C375" s="13"/>
      <c r="D375" s="13"/>
      <c r="E375" s="13"/>
      <c r="F375" s="13"/>
      <c r="G375" s="13"/>
      <c r="H375" s="13"/>
    </row>
    <row r="376" customFormat="false" ht="18" hidden="false" customHeight="true" outlineLevel="0" collapsed="false">
      <c r="A376" s="13"/>
      <c r="B376" s="13"/>
      <c r="C376" s="13"/>
      <c r="D376" s="13"/>
      <c r="E376" s="13"/>
      <c r="F376" s="13"/>
      <c r="G376" s="13"/>
      <c r="H376" s="13"/>
    </row>
    <row r="377" customFormat="false" ht="18" hidden="false" customHeight="true" outlineLevel="0" collapsed="false">
      <c r="A377" s="12" t="s">
        <v>265</v>
      </c>
      <c r="B377" s="12"/>
      <c r="C377" s="12"/>
      <c r="D377" s="12"/>
      <c r="E377" s="12" t="s">
        <v>266</v>
      </c>
      <c r="F377" s="12"/>
      <c r="G377" s="12"/>
      <c r="H377" s="12"/>
    </row>
    <row r="378" customFormat="false" ht="18" hidden="false" customHeight="true" outlineLevel="0" collapsed="false">
      <c r="A378" s="12" t="s">
        <v>276</v>
      </c>
      <c r="B378" s="12"/>
      <c r="C378" s="12"/>
      <c r="D378" s="12"/>
      <c r="E378" s="12"/>
      <c r="F378" s="12"/>
      <c r="G378" s="12"/>
      <c r="H378" s="12"/>
    </row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25.5" hidden="false" customHeight="true" outlineLevel="0" collapsed="false">
      <c r="A381" s="7" t="s">
        <v>246</v>
      </c>
      <c r="B381" s="7"/>
      <c r="C381" s="7"/>
      <c r="D381" s="7"/>
      <c r="E381" s="7"/>
      <c r="F381" s="7"/>
      <c r="G381" s="7"/>
      <c r="H381" s="7"/>
    </row>
    <row r="382" customFormat="false" ht="18" hidden="false" customHeight="true" outlineLevel="0" collapsed="false">
      <c r="A382" s="8" t="str">
        <f aca="false">'01 ADMIN_ORDER'!R12</f>
        <v>DRAFT - PERLU VERIFIKASI</v>
      </c>
      <c r="B382" s="8"/>
      <c r="C382" s="8"/>
      <c r="D382" s="8"/>
      <c r="E382" s="8"/>
      <c r="F382" s="8"/>
      <c r="G382" s="8"/>
      <c r="H382" s="8"/>
    </row>
    <row r="383" customFormat="false" ht="18" hidden="false" customHeight="true" outlineLevel="0" collapsed="false">
      <c r="A383" s="9" t="s">
        <v>247</v>
      </c>
      <c r="B383" s="9"/>
      <c r="C383" s="9"/>
      <c r="D383" s="9"/>
      <c r="E383" s="9"/>
      <c r="F383" s="9"/>
      <c r="G383" s="9"/>
      <c r="H383" s="9"/>
    </row>
    <row r="384" customFormat="false" ht="18" hidden="false" customHeight="true" outlineLevel="0" collapsed="false">
      <c r="A384" s="10" t="s">
        <v>248</v>
      </c>
      <c r="B384" s="10"/>
      <c r="C384" s="11" t="str">
        <f aca="false">'01 ADMIN_ORDER'!A12</f>
        <v>147/10/11 (59)</v>
      </c>
      <c r="D384" s="11"/>
      <c r="E384" s="11"/>
      <c r="F384" s="11"/>
      <c r="G384" s="11"/>
      <c r="H384" s="11"/>
    </row>
    <row r="385" customFormat="false" ht="18" hidden="false" customHeight="true" outlineLevel="0" collapsed="false">
      <c r="A385" s="10" t="s">
        <v>249</v>
      </c>
      <c r="B385" s="10"/>
      <c r="C385" s="12" t="str">
        <f aca="false">'01 ADMIN_ORDER'!C12&amp;" / "&amp;'01 ADMIN_ORDER'!D12</f>
        <v>FRONTCOURT LOW / LA6604</v>
      </c>
      <c r="D385" s="12"/>
      <c r="E385" s="12"/>
      <c r="F385" s="12"/>
      <c r="G385" s="12"/>
      <c r="H385" s="12"/>
    </row>
    <row r="386" customFormat="false" ht="18" hidden="false" customHeight="true" outlineLevel="0" collapsed="false">
      <c r="A386" s="10" t="s">
        <v>250</v>
      </c>
      <c r="B386" s="10"/>
      <c r="C386" s="12" t="str">
        <f aca="false">'01 ADMIN_ORDER'!E12</f>
        <v>903410228</v>
      </c>
      <c r="D386" s="12"/>
      <c r="E386" s="12"/>
      <c r="F386" s="12"/>
      <c r="G386" s="12"/>
      <c r="H386" s="12"/>
    </row>
    <row r="387" customFormat="false" ht="27.75" hidden="false" customHeight="true" outlineLevel="0" collapsed="false">
      <c r="A387" s="10" t="s">
        <v>251</v>
      </c>
      <c r="B387" s="10"/>
      <c r="C387" s="12" t="str">
        <f aca="false">'01 ADMIN_ORDER'!H12</f>
        <v>CORE BLACK/FTWR WHITE/CORE BLACK</v>
      </c>
      <c r="D387" s="12"/>
      <c r="E387" s="12"/>
      <c r="F387" s="12"/>
      <c r="G387" s="12"/>
      <c r="H387" s="12"/>
    </row>
    <row r="388" customFormat="false" ht="18" hidden="false" customHeight="true" outlineLevel="0" collapsed="false">
      <c r="A388" s="10" t="s">
        <v>252</v>
      </c>
      <c r="B388" s="10"/>
      <c r="C388" s="12" t="str">
        <f aca="false">'01 ADMIN_ORDER'!B12&amp;" / "&amp;'01 ADMIN_ORDER'!G12</f>
        <v>A-19 / Israel</v>
      </c>
      <c r="D388" s="12"/>
      <c r="E388" s="12"/>
      <c r="F388" s="12"/>
      <c r="G388" s="12"/>
      <c r="H388" s="12"/>
    </row>
    <row r="389" customFormat="false" ht="18" hidden="false" customHeight="true" outlineLevel="0" collapsed="false">
      <c r="A389" s="10" t="s">
        <v>253</v>
      </c>
      <c r="B389" s="10"/>
      <c r="C389" s="13" t="str">
        <f aca="false">'01 ADMIN_ORDER'!I12&amp;" / "&amp;IF('04 KESIAPAN'!B12="","UOM BELUM DIISI",'04 KESIAPAN'!B12)</f>
        <v>241 / UOM BELUM DIISI</v>
      </c>
      <c r="D389" s="13"/>
      <c r="E389" s="13"/>
      <c r="F389" s="13"/>
      <c r="G389" s="13"/>
      <c r="H389" s="13"/>
    </row>
    <row r="390" customFormat="false" ht="18" hidden="false" customHeight="true" outlineLevel="0" collapsed="false">
      <c r="A390" s="13" t="str">
        <f aca="false">IF('04 KESIAPAN'!C12="","SISTEM UKURAN BELUM DIISI",'04 KESIAPAN'!C12)&amp;" | Tanda -: "&amp;IF('04 KESIAPAN'!D12="","BELUM DIKONFIRMASI",'04 KESIAPAN'!D12)</f>
        <v>SISTEM UKURAN BELUM DIISI | Tanda -: BELUM DIKONFIRMASI</v>
      </c>
      <c r="B390" s="13"/>
      <c r="C390" s="13"/>
      <c r="D390" s="13"/>
      <c r="E390" s="13"/>
      <c r="F390" s="13"/>
      <c r="G390" s="13"/>
      <c r="H390" s="13"/>
    </row>
    <row r="391" customFormat="false" ht="18" hidden="false" customHeight="true" outlineLevel="0" collapsed="false">
      <c r="A391" s="7" t="s">
        <v>254</v>
      </c>
      <c r="B391" s="7"/>
      <c r="C391" s="7"/>
      <c r="D391" s="7"/>
      <c r="E391" s="7"/>
      <c r="F391" s="7"/>
      <c r="G391" s="7"/>
      <c r="H391" s="7"/>
    </row>
    <row r="392" customFormat="false" ht="18" hidden="false" customHeight="true" outlineLevel="0" collapsed="false">
      <c r="A392" s="14" t="s">
        <v>214</v>
      </c>
      <c r="B392" s="0" t="n">
        <f aca="false">'02 SIZE_RUN'!D12</f>
        <v>0</v>
      </c>
      <c r="C392" s="14" t="s">
        <v>215</v>
      </c>
      <c r="D392" s="0" t="n">
        <f aca="false">'02 SIZE_RUN'!E12</f>
        <v>0</v>
      </c>
      <c r="E392" s="14" t="s">
        <v>216</v>
      </c>
      <c r="F392" s="0" t="n">
        <f aca="false">'02 SIZE_RUN'!F12</f>
        <v>0</v>
      </c>
      <c r="G392" s="14" t="s">
        <v>217</v>
      </c>
      <c r="H392" s="0" t="n">
        <f aca="false">'02 SIZE_RUN'!G12</f>
        <v>0</v>
      </c>
    </row>
    <row r="393" customFormat="false" ht="18" hidden="false" customHeight="true" outlineLevel="0" collapsed="false">
      <c r="A393" s="14" t="s">
        <v>218</v>
      </c>
      <c r="B393" s="0" t="n">
        <f aca="false">'02 SIZE_RUN'!H12</f>
        <v>0</v>
      </c>
      <c r="C393" s="14" t="s">
        <v>219</v>
      </c>
      <c r="D393" s="0" t="n">
        <f aca="false">'02 SIZE_RUN'!I12</f>
        <v>0</v>
      </c>
      <c r="E393" s="14" t="s">
        <v>220</v>
      </c>
      <c r="F393" s="0" t="n">
        <f aca="false">'02 SIZE_RUN'!J12</f>
        <v>0</v>
      </c>
      <c r="G393" s="14" t="s">
        <v>221</v>
      </c>
      <c r="H393" s="0" t="n">
        <f aca="false">'02 SIZE_RUN'!K12</f>
        <v>24</v>
      </c>
    </row>
    <row r="394" customFormat="false" ht="18" hidden="false" customHeight="true" outlineLevel="0" collapsed="false">
      <c r="A394" s="14" t="s">
        <v>222</v>
      </c>
      <c r="B394" s="0" t="n">
        <f aca="false">'02 SIZE_RUN'!L12</f>
        <v>1</v>
      </c>
      <c r="C394" s="14" t="s">
        <v>223</v>
      </c>
      <c r="D394" s="0" t="n">
        <f aca="false">'02 SIZE_RUN'!M12</f>
        <v>20</v>
      </c>
      <c r="E394" s="14" t="s">
        <v>224</v>
      </c>
      <c r="F394" s="0" t="n">
        <f aca="false">'02 SIZE_RUN'!N12</f>
        <v>50</v>
      </c>
      <c r="G394" s="14" t="s">
        <v>225</v>
      </c>
      <c r="H394" s="0" t="n">
        <f aca="false">'02 SIZE_RUN'!O12</f>
        <v>19</v>
      </c>
    </row>
    <row r="395" customFormat="false" ht="18" hidden="false" customHeight="true" outlineLevel="0" collapsed="false">
      <c r="A395" s="14" t="s">
        <v>226</v>
      </c>
      <c r="B395" s="0" t="n">
        <f aca="false">'02 SIZE_RUN'!P12</f>
        <v>32</v>
      </c>
      <c r="C395" s="14" t="s">
        <v>227</v>
      </c>
      <c r="D395" s="0" t="n">
        <f aca="false">'02 SIZE_RUN'!Q12</f>
        <v>26</v>
      </c>
      <c r="E395" s="14" t="s">
        <v>228</v>
      </c>
      <c r="F395" s="0" t="n">
        <f aca="false">'02 SIZE_RUN'!R12</f>
        <v>22</v>
      </c>
      <c r="G395" s="14" t="s">
        <v>229</v>
      </c>
      <c r="H395" s="0" t="n">
        <f aca="false">'02 SIZE_RUN'!S12</f>
        <v>19</v>
      </c>
    </row>
    <row r="396" customFormat="false" ht="18" hidden="false" customHeight="true" outlineLevel="0" collapsed="false">
      <c r="A396" s="14" t="s">
        <v>230</v>
      </c>
      <c r="B396" s="0" t="n">
        <f aca="false">'02 SIZE_RUN'!T12</f>
        <v>19</v>
      </c>
      <c r="C396" s="14" t="s">
        <v>231</v>
      </c>
      <c r="D396" s="0" t="n">
        <f aca="false">'02 SIZE_RUN'!U12</f>
        <v>0</v>
      </c>
      <c r="E396" s="14" t="s">
        <v>232</v>
      </c>
      <c r="F396" s="0" t="n">
        <f aca="false">'02 SIZE_RUN'!V12</f>
        <v>9</v>
      </c>
      <c r="G396" s="14" t="s">
        <v>233</v>
      </c>
      <c r="H396" s="0" t="n">
        <f aca="false">'02 SIZE_RUN'!W12</f>
        <v>0</v>
      </c>
    </row>
    <row r="397" customFormat="false" ht="18" hidden="false" customHeight="true" outlineLevel="0" collapsed="false">
      <c r="A397" s="14" t="s">
        <v>234</v>
      </c>
      <c r="B397" s="0" t="n">
        <f aca="false">'02 SIZE_RUN'!X12</f>
        <v>0</v>
      </c>
      <c r="C397" s="14" t="s">
        <v>235</v>
      </c>
      <c r="D397" s="0" t="n">
        <f aca="false">'02 SIZE_RUN'!Y12</f>
        <v>0</v>
      </c>
      <c r="E397" s="14" t="s">
        <v>236</v>
      </c>
      <c r="F397" s="0" t="n">
        <f aca="false">'02 SIZE_RUN'!Z12</f>
        <v>0</v>
      </c>
      <c r="G397" s="14" t="s">
        <v>237</v>
      </c>
      <c r="H397" s="0" t="n">
        <f aca="false">'02 SIZE_RUN'!AA12</f>
        <v>0</v>
      </c>
    </row>
    <row r="398" customFormat="false" ht="18" hidden="false" customHeight="true" outlineLevel="0" collapsed="false">
      <c r="A398" s="14" t="s">
        <v>238</v>
      </c>
      <c r="B398" s="0" t="n">
        <f aca="false">'02 SIZE_RUN'!AB12</f>
        <v>0</v>
      </c>
      <c r="C398" s="14" t="s">
        <v>239</v>
      </c>
      <c r="D398" s="0" t="n">
        <f aca="false">'02 SIZE_RUN'!AC12</f>
        <v>0</v>
      </c>
      <c r="E398" s="14" t="s">
        <v>240</v>
      </c>
      <c r="F398" s="0" t="n">
        <f aca="false">'02 SIZE_RUN'!AD12</f>
        <v>0</v>
      </c>
      <c r="G398" s="14" t="s">
        <v>241</v>
      </c>
      <c r="H398" s="0" t="n">
        <f aca="false">'02 SIZE_RUN'!AE12</f>
        <v>0</v>
      </c>
    </row>
    <row r="399" customFormat="false" ht="18" hidden="false" customHeight="true" outlineLevel="0" collapsed="false">
      <c r="A399" s="14" t="s">
        <v>242</v>
      </c>
      <c r="B399" s="0" t="n">
        <f aca="false">'02 SIZE_RUN'!AF12</f>
        <v>0</v>
      </c>
    </row>
    <row r="400" customFormat="false" ht="18" hidden="false" customHeight="true" outlineLevel="0" collapsed="false">
      <c r="A400" s="10" t="str">
        <f aca="false">"TOTAL SIZE: "&amp;'02 SIZE_RUN'!AG12&amp;" | SELISIH: "&amp;'02 SIZE_RUN'!AH12</f>
        <v>TOTAL SIZE: 241 | SELISIH: 0</v>
      </c>
      <c r="B400" s="10"/>
      <c r="C400" s="10"/>
      <c r="D400" s="10"/>
      <c r="E400" s="10"/>
      <c r="F400" s="10"/>
      <c r="G400" s="10"/>
      <c r="H400" s="10"/>
    </row>
    <row r="401" customFormat="false" ht="18" hidden="false" customHeight="true" outlineLevel="0" collapsed="false">
      <c r="A401" s="10" t="s">
        <v>255</v>
      </c>
      <c r="B401" s="10"/>
      <c r="C401" s="10"/>
      <c r="D401" s="13" t="str">
        <f aca="false">IF('01 ADMIN_ORDER'!P12="","BELUM DITETAPKAN",TEXT('01 ADMIN_ORDER'!P12,"dd mmm yyyy"))</f>
        <v>BELUM DITETAPKAN</v>
      </c>
      <c r="E401" s="13"/>
      <c r="F401" s="13"/>
      <c r="G401" s="13"/>
      <c r="H401" s="13"/>
    </row>
    <row r="402" customFormat="false" ht="18" hidden="false" customHeight="true" outlineLevel="0" collapsed="false">
      <c r="A402" s="10" t="s">
        <v>256</v>
      </c>
      <c r="B402" s="10"/>
      <c r="C402" s="10"/>
      <c r="D402" s="13" t="str">
        <f aca="false">IF('01 ADMIN_ORDER'!Q12="","BELUM DITETAPKAN",TEXT('01 ADMIN_ORDER'!Q12,"dd mmm yyyy"))</f>
        <v>BELUM DITETAPKAN</v>
      </c>
      <c r="E402" s="13"/>
      <c r="F402" s="13"/>
      <c r="G402" s="13"/>
      <c r="H402" s="13"/>
    </row>
    <row r="403" customFormat="false" ht="25.5" hidden="false" customHeight="true" outlineLevel="0" collapsed="false">
      <c r="A403" s="12" t="str">
        <f aca="false">"REFERENSI ASSEMBLY (bukan target upper): "&amp;TEXT('01 ADMIN_ORDER'!M12,"dd mmm yyyy")&amp;" - "&amp;TEXT('01 ADMIN_ORDER'!N12,"dd mmm yyyy")</f>
        <v>REFERENSI ASSEMBLY (bukan target upper): 08 Oct 2026 - 08 Oct 2026</v>
      </c>
      <c r="B403" s="12"/>
      <c r="C403" s="12"/>
      <c r="D403" s="12"/>
      <c r="E403" s="12"/>
      <c r="F403" s="12"/>
      <c r="G403" s="12"/>
      <c r="H403" s="12"/>
    </row>
    <row r="404" customFormat="false" ht="18" hidden="false" customHeight="true" outlineLevel="0" collapsed="false">
      <c r="A404" s="10" t="s">
        <v>257</v>
      </c>
      <c r="B404" s="10"/>
      <c r="C404" s="10"/>
      <c r="D404" s="13" t="str">
        <f aca="false">IF('04 KESIAPAN'!G12="","BELUM DIISI",'04 KESIAPAN'!G12)</f>
        <v>BELUM DIISI</v>
      </c>
      <c r="E404" s="13"/>
      <c r="F404" s="13"/>
      <c r="G404" s="13"/>
      <c r="H404" s="13"/>
    </row>
    <row r="405" customFormat="false" ht="18" hidden="false" customHeight="true" outlineLevel="0" collapsed="false">
      <c r="A405" s="10" t="s">
        <v>258</v>
      </c>
      <c r="B405" s="10"/>
      <c r="C405" s="10"/>
      <c r="D405" s="13" t="str">
        <f aca="false">IF('04 KESIAPAN'!H12="","BELUM DIISI",'04 KESIAPAN'!H12)</f>
        <v>BELUM DIISI</v>
      </c>
      <c r="E405" s="13"/>
      <c r="F405" s="13"/>
      <c r="G405" s="13"/>
      <c r="H405" s="13"/>
    </row>
    <row r="406" customFormat="false" ht="18" hidden="false" customHeight="true" outlineLevel="0" collapsed="false">
      <c r="A406" s="10" t="s">
        <v>259</v>
      </c>
      <c r="B406" s="10"/>
      <c r="C406" s="10"/>
      <c r="D406" s="13" t="str">
        <f aca="false">IF('04 KESIAPAN'!I12="","BELUM DIISI",'04 KESIAPAN'!I12)</f>
        <v>BELUM DIISI</v>
      </c>
      <c r="E406" s="13"/>
      <c r="F406" s="13"/>
      <c r="G406" s="13"/>
      <c r="H406" s="13"/>
    </row>
    <row r="407" customFormat="false" ht="18" hidden="false" customHeight="true" outlineLevel="0" collapsed="false">
      <c r="A407" s="10" t="s">
        <v>260</v>
      </c>
      <c r="B407" s="10"/>
      <c r="C407" s="10"/>
      <c r="D407" s="13" t="str">
        <f aca="false">IF('04 KESIAPAN'!K12="","BELUM DIISI",'04 KESIAPAN'!K12)</f>
        <v>BELUM DIISI</v>
      </c>
      <c r="E407" s="13"/>
      <c r="F407" s="13"/>
      <c r="G407" s="13"/>
      <c r="H407" s="13"/>
    </row>
    <row r="408" customFormat="false" ht="18" hidden="false" customHeight="true" outlineLevel="0" collapsed="false">
      <c r="A408" s="10" t="s">
        <v>261</v>
      </c>
      <c r="B408" s="10"/>
      <c r="C408" s="10"/>
      <c r="D408" s="13" t="str">
        <f aca="false">IF('04 KESIAPAN'!L12="","BELUM DIISI",'04 KESIAPAN'!L12)</f>
        <v>BELUM DIISI</v>
      </c>
      <c r="E408" s="13"/>
      <c r="F408" s="13"/>
      <c r="G408" s="13"/>
      <c r="H408" s="13"/>
    </row>
    <row r="409" customFormat="false" ht="18" hidden="false" customHeight="true" outlineLevel="0" collapsed="false">
      <c r="A409" s="10" t="s">
        <v>262</v>
      </c>
      <c r="B409" s="10"/>
      <c r="C409" s="10"/>
      <c r="D409" s="13" t="str">
        <f aca="false">IF('04 KESIAPAN'!N12="","BELUM DIISI",'04 KESIAPAN'!N12)</f>
        <v>BELUM DIISI</v>
      </c>
      <c r="E409" s="13"/>
      <c r="F409" s="13"/>
      <c r="G409" s="13"/>
      <c r="H409" s="13"/>
    </row>
    <row r="410" customFormat="false" ht="18" hidden="false" customHeight="true" outlineLevel="0" collapsed="false">
      <c r="A410" s="10" t="s">
        <v>263</v>
      </c>
      <c r="B410" s="10"/>
      <c r="C410" s="10"/>
      <c r="D410" s="13" t="str">
        <f aca="false">IF('04 KESIAPAN'!P12="","BELUM DIISI",'04 KESIAPAN'!P12)</f>
        <v>BELUM DIISI</v>
      </c>
      <c r="E410" s="13"/>
      <c r="F410" s="13"/>
      <c r="G410" s="13"/>
      <c r="H410" s="13"/>
    </row>
    <row r="411" customFormat="false" ht="18" hidden="false" customHeight="true" outlineLevel="0" collapsed="false">
      <c r="A411" s="7" t="s">
        <v>264</v>
      </c>
      <c r="B411" s="7"/>
      <c r="C411" s="7"/>
      <c r="D411" s="7"/>
      <c r="E411" s="7"/>
      <c r="F411" s="7"/>
      <c r="G411" s="7"/>
      <c r="H411" s="7"/>
    </row>
    <row r="412" customFormat="false" ht="18" hidden="false" customHeight="true" outlineLevel="0" collapsed="false">
      <c r="A412" s="13"/>
      <c r="B412" s="13"/>
      <c r="C412" s="13"/>
      <c r="D412" s="13"/>
      <c r="E412" s="13"/>
      <c r="F412" s="13"/>
      <c r="G412" s="13"/>
      <c r="H412" s="13"/>
    </row>
    <row r="413" customFormat="false" ht="18" hidden="false" customHeight="true" outlineLevel="0" collapsed="false">
      <c r="A413" s="13"/>
      <c r="B413" s="13"/>
      <c r="C413" s="13"/>
      <c r="D413" s="13"/>
      <c r="E413" s="13"/>
      <c r="F413" s="13"/>
      <c r="G413" s="13"/>
      <c r="H413" s="13"/>
    </row>
    <row r="414" customFormat="false" ht="18" hidden="false" customHeight="true" outlineLevel="0" collapsed="false">
      <c r="A414" s="13"/>
      <c r="B414" s="13"/>
      <c r="C414" s="13"/>
      <c r="D414" s="13"/>
      <c r="E414" s="13"/>
      <c r="F414" s="13"/>
      <c r="G414" s="13"/>
      <c r="H414" s="13"/>
    </row>
    <row r="415" customFormat="false" ht="18" hidden="false" customHeight="true" outlineLevel="0" collapsed="false">
      <c r="A415" s="12" t="s">
        <v>265</v>
      </c>
      <c r="B415" s="12"/>
      <c r="C415" s="12"/>
      <c r="D415" s="12"/>
      <c r="E415" s="12" t="s">
        <v>266</v>
      </c>
      <c r="F415" s="12"/>
      <c r="G415" s="12"/>
      <c r="H415" s="12"/>
    </row>
    <row r="416" customFormat="false" ht="18" hidden="false" customHeight="true" outlineLevel="0" collapsed="false">
      <c r="A416" s="12" t="s">
        <v>277</v>
      </c>
      <c r="B416" s="12"/>
      <c r="C416" s="12"/>
      <c r="D416" s="12"/>
      <c r="E416" s="12"/>
      <c r="F416" s="12"/>
      <c r="G416" s="12"/>
      <c r="H416" s="12"/>
    </row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25.5" hidden="false" customHeight="true" outlineLevel="0" collapsed="false">
      <c r="A419" s="7" t="s">
        <v>246</v>
      </c>
      <c r="B419" s="7"/>
      <c r="C419" s="7"/>
      <c r="D419" s="7"/>
      <c r="E419" s="7"/>
      <c r="F419" s="7"/>
      <c r="G419" s="7"/>
      <c r="H419" s="7"/>
    </row>
    <row r="420" customFormat="false" ht="18" hidden="false" customHeight="true" outlineLevel="0" collapsed="false">
      <c r="A420" s="8" t="str">
        <f aca="false">'01 ADMIN_ORDER'!R13</f>
        <v>DRAFT - PERLU VERIFIKASI</v>
      </c>
      <c r="B420" s="8"/>
      <c r="C420" s="8"/>
      <c r="D420" s="8"/>
      <c r="E420" s="8"/>
      <c r="F420" s="8"/>
      <c r="G420" s="8"/>
      <c r="H420" s="8"/>
    </row>
    <row r="421" customFormat="false" ht="18" hidden="false" customHeight="true" outlineLevel="0" collapsed="false">
      <c r="A421" s="9" t="s">
        <v>247</v>
      </c>
      <c r="B421" s="9"/>
      <c r="C421" s="9"/>
      <c r="D421" s="9"/>
      <c r="E421" s="9"/>
      <c r="F421" s="9"/>
      <c r="G421" s="9"/>
      <c r="H421" s="9"/>
    </row>
    <row r="422" customFormat="false" ht="18" hidden="false" customHeight="true" outlineLevel="0" collapsed="false">
      <c r="A422" s="10" t="s">
        <v>248</v>
      </c>
      <c r="B422" s="10"/>
      <c r="C422" s="11" t="str">
        <f aca="false">'01 ADMIN_ORDER'!A13</f>
        <v>148/10/12 (59)</v>
      </c>
      <c r="D422" s="11"/>
      <c r="E422" s="11"/>
      <c r="F422" s="11"/>
      <c r="G422" s="11"/>
      <c r="H422" s="11"/>
    </row>
    <row r="423" customFormat="false" ht="18" hidden="false" customHeight="true" outlineLevel="0" collapsed="false">
      <c r="A423" s="10" t="s">
        <v>249</v>
      </c>
      <c r="B423" s="10"/>
      <c r="C423" s="12" t="str">
        <f aca="false">'01 ADMIN_ORDER'!C13&amp;" / "&amp;'01 ADMIN_ORDER'!D13</f>
        <v>FRONTCOURT LOW / LA6604</v>
      </c>
      <c r="D423" s="12"/>
      <c r="E423" s="12"/>
      <c r="F423" s="12"/>
      <c r="G423" s="12"/>
      <c r="H423" s="12"/>
    </row>
    <row r="424" customFormat="false" ht="18" hidden="false" customHeight="true" outlineLevel="0" collapsed="false">
      <c r="A424" s="10" t="s">
        <v>250</v>
      </c>
      <c r="B424" s="10"/>
      <c r="C424" s="12" t="str">
        <f aca="false">'01 ADMIN_ORDER'!E13</f>
        <v>903410228 (FGT)</v>
      </c>
      <c r="D424" s="12"/>
      <c r="E424" s="12"/>
      <c r="F424" s="12"/>
      <c r="G424" s="12"/>
      <c r="H424" s="12"/>
    </row>
    <row r="425" customFormat="false" ht="27.75" hidden="false" customHeight="true" outlineLevel="0" collapsed="false">
      <c r="A425" s="10" t="s">
        <v>251</v>
      </c>
      <c r="B425" s="10"/>
      <c r="C425" s="12" t="str">
        <f aca="false">'01 ADMIN_ORDER'!H13</f>
        <v>CORE BLACK/FTWR WHITE/CORE BLACK</v>
      </c>
      <c r="D425" s="12"/>
      <c r="E425" s="12"/>
      <c r="F425" s="12"/>
      <c r="G425" s="12"/>
      <c r="H425" s="12"/>
    </row>
    <row r="426" customFormat="false" ht="18" hidden="false" customHeight="true" outlineLevel="0" collapsed="false">
      <c r="A426" s="10" t="s">
        <v>252</v>
      </c>
      <c r="B426" s="10"/>
      <c r="C426" s="12" t="str">
        <f aca="false">'01 ADMIN_ORDER'!B13&amp;" / "&amp;'01 ADMIN_ORDER'!G13</f>
        <v>A-19 / Israel</v>
      </c>
      <c r="D426" s="12"/>
      <c r="E426" s="12"/>
      <c r="F426" s="12"/>
      <c r="G426" s="12"/>
      <c r="H426" s="12"/>
    </row>
    <row r="427" customFormat="false" ht="18" hidden="false" customHeight="true" outlineLevel="0" collapsed="false">
      <c r="A427" s="10" t="s">
        <v>253</v>
      </c>
      <c r="B427" s="10"/>
      <c r="C427" s="13" t="str">
        <f aca="false">'01 ADMIN_ORDER'!I13&amp;" / "&amp;IF('04 KESIAPAN'!B13="","UOM BELUM DIISI",'04 KESIAPAN'!B13)</f>
        <v>9 / UOM BELUM DIISI</v>
      </c>
      <c r="D427" s="13"/>
      <c r="E427" s="13"/>
      <c r="F427" s="13"/>
      <c r="G427" s="13"/>
      <c r="H427" s="13"/>
    </row>
    <row r="428" customFormat="false" ht="18" hidden="false" customHeight="true" outlineLevel="0" collapsed="false">
      <c r="A428" s="13" t="str">
        <f aca="false">IF('04 KESIAPAN'!C13="","SISTEM UKURAN BELUM DIISI",'04 KESIAPAN'!C13)&amp;" | Tanda -: "&amp;IF('04 KESIAPAN'!D13="","BELUM DIKONFIRMASI",'04 KESIAPAN'!D13)</f>
        <v>SISTEM UKURAN BELUM DIISI | Tanda -: BELUM DIKONFIRMASI</v>
      </c>
      <c r="B428" s="13"/>
      <c r="C428" s="13"/>
      <c r="D428" s="13"/>
      <c r="E428" s="13"/>
      <c r="F428" s="13"/>
      <c r="G428" s="13"/>
      <c r="H428" s="13"/>
    </row>
    <row r="429" customFormat="false" ht="18" hidden="false" customHeight="true" outlineLevel="0" collapsed="false">
      <c r="A429" s="7" t="s">
        <v>254</v>
      </c>
      <c r="B429" s="7"/>
      <c r="C429" s="7"/>
      <c r="D429" s="7"/>
      <c r="E429" s="7"/>
      <c r="F429" s="7"/>
      <c r="G429" s="7"/>
      <c r="H429" s="7"/>
    </row>
    <row r="430" customFormat="false" ht="18" hidden="false" customHeight="true" outlineLevel="0" collapsed="false">
      <c r="A430" s="14" t="s">
        <v>214</v>
      </c>
      <c r="B430" s="0" t="n">
        <f aca="false">'02 SIZE_RUN'!D13</f>
        <v>0</v>
      </c>
      <c r="C430" s="14" t="s">
        <v>215</v>
      </c>
      <c r="D430" s="0" t="n">
        <f aca="false">'02 SIZE_RUN'!E13</f>
        <v>0</v>
      </c>
      <c r="E430" s="14" t="s">
        <v>216</v>
      </c>
      <c r="F430" s="0" t="n">
        <f aca="false">'02 SIZE_RUN'!F13</f>
        <v>0</v>
      </c>
      <c r="G430" s="14" t="s">
        <v>217</v>
      </c>
      <c r="H430" s="0" t="n">
        <f aca="false">'02 SIZE_RUN'!G13</f>
        <v>0</v>
      </c>
    </row>
    <row r="431" customFormat="false" ht="18" hidden="false" customHeight="true" outlineLevel="0" collapsed="false">
      <c r="A431" s="14" t="s">
        <v>218</v>
      </c>
      <c r="B431" s="0" t="n">
        <f aca="false">'02 SIZE_RUN'!H13</f>
        <v>0</v>
      </c>
      <c r="C431" s="14" t="s">
        <v>219</v>
      </c>
      <c r="D431" s="0" t="n">
        <f aca="false">'02 SIZE_RUN'!I13</f>
        <v>0</v>
      </c>
      <c r="E431" s="14" t="s">
        <v>220</v>
      </c>
      <c r="F431" s="0" t="n">
        <f aca="false">'02 SIZE_RUN'!J13</f>
        <v>0</v>
      </c>
      <c r="G431" s="14" t="s">
        <v>221</v>
      </c>
      <c r="H431" s="0" t="n">
        <f aca="false">'02 SIZE_RUN'!K13</f>
        <v>0</v>
      </c>
    </row>
    <row r="432" customFormat="false" ht="18" hidden="false" customHeight="true" outlineLevel="0" collapsed="false">
      <c r="A432" s="14" t="s">
        <v>222</v>
      </c>
      <c r="B432" s="0" t="n">
        <f aca="false">'02 SIZE_RUN'!L13</f>
        <v>0</v>
      </c>
      <c r="C432" s="14" t="s">
        <v>223</v>
      </c>
      <c r="D432" s="0" t="n">
        <f aca="false">'02 SIZE_RUN'!M13</f>
        <v>0</v>
      </c>
      <c r="E432" s="14" t="s">
        <v>224</v>
      </c>
      <c r="F432" s="0" t="n">
        <f aca="false">'02 SIZE_RUN'!N13</f>
        <v>0</v>
      </c>
      <c r="G432" s="14" t="s">
        <v>225</v>
      </c>
      <c r="H432" s="0" t="n">
        <f aca="false">'02 SIZE_RUN'!O13</f>
        <v>9</v>
      </c>
    </row>
    <row r="433" customFormat="false" ht="18" hidden="false" customHeight="true" outlineLevel="0" collapsed="false">
      <c r="A433" s="14" t="s">
        <v>226</v>
      </c>
      <c r="B433" s="0" t="n">
        <f aca="false">'02 SIZE_RUN'!P13</f>
        <v>0</v>
      </c>
      <c r="C433" s="14" t="s">
        <v>227</v>
      </c>
      <c r="D433" s="0" t="n">
        <f aca="false">'02 SIZE_RUN'!Q13</f>
        <v>0</v>
      </c>
      <c r="E433" s="14" t="s">
        <v>228</v>
      </c>
      <c r="F433" s="0" t="n">
        <f aca="false">'02 SIZE_RUN'!R13</f>
        <v>0</v>
      </c>
      <c r="G433" s="14" t="s">
        <v>229</v>
      </c>
      <c r="H433" s="0" t="n">
        <f aca="false">'02 SIZE_RUN'!S13</f>
        <v>0</v>
      </c>
    </row>
    <row r="434" customFormat="false" ht="18" hidden="false" customHeight="true" outlineLevel="0" collapsed="false">
      <c r="A434" s="14" t="s">
        <v>230</v>
      </c>
      <c r="B434" s="0" t="n">
        <f aca="false">'02 SIZE_RUN'!T13</f>
        <v>0</v>
      </c>
      <c r="C434" s="14" t="s">
        <v>231</v>
      </c>
      <c r="D434" s="0" t="n">
        <f aca="false">'02 SIZE_RUN'!U13</f>
        <v>0</v>
      </c>
      <c r="E434" s="14" t="s">
        <v>232</v>
      </c>
      <c r="F434" s="0" t="n">
        <f aca="false">'02 SIZE_RUN'!V13</f>
        <v>0</v>
      </c>
      <c r="G434" s="14" t="s">
        <v>233</v>
      </c>
      <c r="H434" s="0" t="n">
        <f aca="false">'02 SIZE_RUN'!W13</f>
        <v>0</v>
      </c>
    </row>
    <row r="435" customFormat="false" ht="18" hidden="false" customHeight="true" outlineLevel="0" collapsed="false">
      <c r="A435" s="14" t="s">
        <v>234</v>
      </c>
      <c r="B435" s="0" t="n">
        <f aca="false">'02 SIZE_RUN'!X13</f>
        <v>0</v>
      </c>
      <c r="C435" s="14" t="s">
        <v>235</v>
      </c>
      <c r="D435" s="0" t="n">
        <f aca="false">'02 SIZE_RUN'!Y13</f>
        <v>0</v>
      </c>
      <c r="E435" s="14" t="s">
        <v>236</v>
      </c>
      <c r="F435" s="0" t="n">
        <f aca="false">'02 SIZE_RUN'!Z13</f>
        <v>0</v>
      </c>
      <c r="G435" s="14" t="s">
        <v>237</v>
      </c>
      <c r="H435" s="0" t="n">
        <f aca="false">'02 SIZE_RUN'!AA13</f>
        <v>0</v>
      </c>
    </row>
    <row r="436" customFormat="false" ht="18" hidden="false" customHeight="true" outlineLevel="0" collapsed="false">
      <c r="A436" s="14" t="s">
        <v>238</v>
      </c>
      <c r="B436" s="0" t="n">
        <f aca="false">'02 SIZE_RUN'!AB13</f>
        <v>0</v>
      </c>
      <c r="C436" s="14" t="s">
        <v>239</v>
      </c>
      <c r="D436" s="0" t="n">
        <f aca="false">'02 SIZE_RUN'!AC13</f>
        <v>0</v>
      </c>
      <c r="E436" s="14" t="s">
        <v>240</v>
      </c>
      <c r="F436" s="0" t="n">
        <f aca="false">'02 SIZE_RUN'!AD13</f>
        <v>0</v>
      </c>
      <c r="G436" s="14" t="s">
        <v>241</v>
      </c>
      <c r="H436" s="0" t="n">
        <f aca="false">'02 SIZE_RUN'!AE13</f>
        <v>0</v>
      </c>
    </row>
    <row r="437" customFormat="false" ht="18" hidden="false" customHeight="true" outlineLevel="0" collapsed="false">
      <c r="A437" s="14" t="s">
        <v>242</v>
      </c>
      <c r="B437" s="0" t="n">
        <f aca="false">'02 SIZE_RUN'!AF13</f>
        <v>0</v>
      </c>
    </row>
    <row r="438" customFormat="false" ht="18" hidden="false" customHeight="true" outlineLevel="0" collapsed="false">
      <c r="A438" s="10" t="str">
        <f aca="false">"TOTAL SIZE: "&amp;'02 SIZE_RUN'!AG13&amp;" | SELISIH: "&amp;'02 SIZE_RUN'!AH13</f>
        <v>TOTAL SIZE: 9 | SELISIH: 0</v>
      </c>
      <c r="B438" s="10"/>
      <c r="C438" s="10"/>
      <c r="D438" s="10"/>
      <c r="E438" s="10"/>
      <c r="F438" s="10"/>
      <c r="G438" s="10"/>
      <c r="H438" s="10"/>
    </row>
    <row r="439" customFormat="false" ht="18" hidden="false" customHeight="true" outlineLevel="0" collapsed="false">
      <c r="A439" s="10" t="s">
        <v>255</v>
      </c>
      <c r="B439" s="10"/>
      <c r="C439" s="10"/>
      <c r="D439" s="13" t="str">
        <f aca="false">IF('01 ADMIN_ORDER'!P13="","BELUM DITETAPKAN",TEXT('01 ADMIN_ORDER'!P13,"dd mmm yyyy"))</f>
        <v>BELUM DITETAPKAN</v>
      </c>
      <c r="E439" s="13"/>
      <c r="F439" s="13"/>
      <c r="G439" s="13"/>
      <c r="H439" s="13"/>
    </row>
    <row r="440" customFormat="false" ht="18" hidden="false" customHeight="true" outlineLevel="0" collapsed="false">
      <c r="A440" s="10" t="s">
        <v>256</v>
      </c>
      <c r="B440" s="10"/>
      <c r="C440" s="10"/>
      <c r="D440" s="13" t="str">
        <f aca="false">IF('01 ADMIN_ORDER'!Q13="","BELUM DITETAPKAN",TEXT('01 ADMIN_ORDER'!Q13,"dd mmm yyyy"))</f>
        <v>BELUM DITETAPKAN</v>
      </c>
      <c r="E440" s="13"/>
      <c r="F440" s="13"/>
      <c r="G440" s="13"/>
      <c r="H440" s="13"/>
    </row>
    <row r="441" customFormat="false" ht="25.5" hidden="false" customHeight="true" outlineLevel="0" collapsed="false">
      <c r="A441" s="12" t="str">
        <f aca="false">"REFERENSI ASSEMBLY (bukan target upper): "&amp;TEXT('01 ADMIN_ORDER'!M13,"dd mmm yyyy")&amp;" - "&amp;TEXT('01 ADMIN_ORDER'!N13,"dd mmm yyyy")</f>
        <v>REFERENSI ASSEMBLY (bukan target upper): 08 Oct 2026 - 08 Oct 2026</v>
      </c>
      <c r="B441" s="12"/>
      <c r="C441" s="12"/>
      <c r="D441" s="12"/>
      <c r="E441" s="12"/>
      <c r="F441" s="12"/>
      <c r="G441" s="12"/>
      <c r="H441" s="12"/>
    </row>
    <row r="442" customFormat="false" ht="18" hidden="false" customHeight="true" outlineLevel="0" collapsed="false">
      <c r="A442" s="10" t="s">
        <v>257</v>
      </c>
      <c r="B442" s="10"/>
      <c r="C442" s="10"/>
      <c r="D442" s="13" t="str">
        <f aca="false">IF('04 KESIAPAN'!G13="","BELUM DIISI",'04 KESIAPAN'!G13)</f>
        <v>BELUM DIISI</v>
      </c>
      <c r="E442" s="13"/>
      <c r="F442" s="13"/>
      <c r="G442" s="13"/>
      <c r="H442" s="13"/>
    </row>
    <row r="443" customFormat="false" ht="18" hidden="false" customHeight="true" outlineLevel="0" collapsed="false">
      <c r="A443" s="10" t="s">
        <v>258</v>
      </c>
      <c r="B443" s="10"/>
      <c r="C443" s="10"/>
      <c r="D443" s="13" t="str">
        <f aca="false">IF('04 KESIAPAN'!H13="","BELUM DIISI",'04 KESIAPAN'!H13)</f>
        <v>BELUM DIISI</v>
      </c>
      <c r="E443" s="13"/>
      <c r="F443" s="13"/>
      <c r="G443" s="13"/>
      <c r="H443" s="13"/>
    </row>
    <row r="444" customFormat="false" ht="18" hidden="false" customHeight="true" outlineLevel="0" collapsed="false">
      <c r="A444" s="10" t="s">
        <v>259</v>
      </c>
      <c r="B444" s="10"/>
      <c r="C444" s="10"/>
      <c r="D444" s="13" t="str">
        <f aca="false">IF('04 KESIAPAN'!I13="","BELUM DIISI",'04 KESIAPAN'!I13)</f>
        <v>BELUM DIISI</v>
      </c>
      <c r="E444" s="13"/>
      <c r="F444" s="13"/>
      <c r="G444" s="13"/>
      <c r="H444" s="13"/>
    </row>
    <row r="445" customFormat="false" ht="18" hidden="false" customHeight="true" outlineLevel="0" collapsed="false">
      <c r="A445" s="10" t="s">
        <v>260</v>
      </c>
      <c r="B445" s="10"/>
      <c r="C445" s="10"/>
      <c r="D445" s="13" t="str">
        <f aca="false">IF('04 KESIAPAN'!K13="","BELUM DIISI",'04 KESIAPAN'!K13)</f>
        <v>BELUM DIISI</v>
      </c>
      <c r="E445" s="13"/>
      <c r="F445" s="13"/>
      <c r="G445" s="13"/>
      <c r="H445" s="13"/>
    </row>
    <row r="446" customFormat="false" ht="18" hidden="false" customHeight="true" outlineLevel="0" collapsed="false">
      <c r="A446" s="10" t="s">
        <v>261</v>
      </c>
      <c r="B446" s="10"/>
      <c r="C446" s="10"/>
      <c r="D446" s="13" t="str">
        <f aca="false">IF('04 KESIAPAN'!L13="","BELUM DIISI",'04 KESIAPAN'!L13)</f>
        <v>BELUM DIISI</v>
      </c>
      <c r="E446" s="13"/>
      <c r="F446" s="13"/>
      <c r="G446" s="13"/>
      <c r="H446" s="13"/>
    </row>
    <row r="447" customFormat="false" ht="18" hidden="false" customHeight="true" outlineLevel="0" collapsed="false">
      <c r="A447" s="10" t="s">
        <v>262</v>
      </c>
      <c r="B447" s="10"/>
      <c r="C447" s="10"/>
      <c r="D447" s="13" t="str">
        <f aca="false">IF('04 KESIAPAN'!N13="","BELUM DIISI",'04 KESIAPAN'!N13)</f>
        <v>BELUM DIISI</v>
      </c>
      <c r="E447" s="13"/>
      <c r="F447" s="13"/>
      <c r="G447" s="13"/>
      <c r="H447" s="13"/>
    </row>
    <row r="448" customFormat="false" ht="18" hidden="false" customHeight="true" outlineLevel="0" collapsed="false">
      <c r="A448" s="10" t="s">
        <v>263</v>
      </c>
      <c r="B448" s="10"/>
      <c r="C448" s="10"/>
      <c r="D448" s="13" t="str">
        <f aca="false">IF('04 KESIAPAN'!P13="","BELUM DIISI",'04 KESIAPAN'!P13)</f>
        <v>BELUM DIISI</v>
      </c>
      <c r="E448" s="13"/>
      <c r="F448" s="13"/>
      <c r="G448" s="13"/>
      <c r="H448" s="13"/>
    </row>
    <row r="449" customFormat="false" ht="18" hidden="false" customHeight="true" outlineLevel="0" collapsed="false">
      <c r="A449" s="7" t="s">
        <v>264</v>
      </c>
      <c r="B449" s="7"/>
      <c r="C449" s="7"/>
      <c r="D449" s="7"/>
      <c r="E449" s="7"/>
      <c r="F449" s="7"/>
      <c r="G449" s="7"/>
      <c r="H449" s="7"/>
    </row>
    <row r="450" customFormat="false" ht="18" hidden="false" customHeight="true" outlineLevel="0" collapsed="false">
      <c r="A450" s="13"/>
      <c r="B450" s="13"/>
      <c r="C450" s="13"/>
      <c r="D450" s="13"/>
      <c r="E450" s="13"/>
      <c r="F450" s="13"/>
      <c r="G450" s="13"/>
      <c r="H450" s="13"/>
    </row>
    <row r="451" customFormat="false" ht="18" hidden="false" customHeight="true" outlineLevel="0" collapsed="false">
      <c r="A451" s="13"/>
      <c r="B451" s="13"/>
      <c r="C451" s="13"/>
      <c r="D451" s="13"/>
      <c r="E451" s="13"/>
      <c r="F451" s="13"/>
      <c r="G451" s="13"/>
      <c r="H451" s="13"/>
    </row>
    <row r="452" customFormat="false" ht="18" hidden="false" customHeight="true" outlineLevel="0" collapsed="false">
      <c r="A452" s="13"/>
      <c r="B452" s="13"/>
      <c r="C452" s="13"/>
      <c r="D452" s="13"/>
      <c r="E452" s="13"/>
      <c r="F452" s="13"/>
      <c r="G452" s="13"/>
      <c r="H452" s="13"/>
    </row>
    <row r="453" customFormat="false" ht="18" hidden="false" customHeight="true" outlineLevel="0" collapsed="false">
      <c r="A453" s="12" t="s">
        <v>265</v>
      </c>
      <c r="B453" s="12"/>
      <c r="C453" s="12"/>
      <c r="D453" s="12"/>
      <c r="E453" s="12" t="s">
        <v>266</v>
      </c>
      <c r="F453" s="12"/>
      <c r="G453" s="12"/>
      <c r="H453" s="12"/>
    </row>
    <row r="454" customFormat="false" ht="18" hidden="false" customHeight="true" outlineLevel="0" collapsed="false">
      <c r="A454" s="12" t="s">
        <v>278</v>
      </c>
      <c r="B454" s="12"/>
      <c r="C454" s="12"/>
      <c r="D454" s="12"/>
      <c r="E454" s="12"/>
      <c r="F454" s="12"/>
      <c r="G454" s="12"/>
      <c r="H454" s="12"/>
    </row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25.5" hidden="false" customHeight="true" outlineLevel="0" collapsed="false">
      <c r="A457" s="7" t="s">
        <v>246</v>
      </c>
      <c r="B457" s="7"/>
      <c r="C457" s="7"/>
      <c r="D457" s="7"/>
      <c r="E457" s="7"/>
      <c r="F457" s="7"/>
      <c r="G457" s="7"/>
      <c r="H457" s="7"/>
    </row>
    <row r="458" customFormat="false" ht="18" hidden="false" customHeight="true" outlineLevel="0" collapsed="false">
      <c r="A458" s="8" t="str">
        <f aca="false">'01 ADMIN_ORDER'!R14</f>
        <v>DRAFT - PERLU VERIFIKASI</v>
      </c>
      <c r="B458" s="8"/>
      <c r="C458" s="8"/>
      <c r="D458" s="8"/>
      <c r="E458" s="8"/>
      <c r="F458" s="8"/>
      <c r="G458" s="8"/>
      <c r="H458" s="8"/>
    </row>
    <row r="459" customFormat="false" ht="18" hidden="false" customHeight="true" outlineLevel="0" collapsed="false">
      <c r="A459" s="9" t="s">
        <v>247</v>
      </c>
      <c r="B459" s="9"/>
      <c r="C459" s="9"/>
      <c r="D459" s="9"/>
      <c r="E459" s="9"/>
      <c r="F459" s="9"/>
      <c r="G459" s="9"/>
      <c r="H459" s="9"/>
    </row>
    <row r="460" customFormat="false" ht="18" hidden="false" customHeight="true" outlineLevel="0" collapsed="false">
      <c r="A460" s="10" t="s">
        <v>248</v>
      </c>
      <c r="B460" s="10"/>
      <c r="C460" s="11" t="str">
        <f aca="false">'01 ADMIN_ORDER'!A14</f>
        <v>149/10/13 (59)</v>
      </c>
      <c r="D460" s="11"/>
      <c r="E460" s="11"/>
      <c r="F460" s="11"/>
      <c r="G460" s="11"/>
      <c r="H460" s="11"/>
    </row>
    <row r="461" customFormat="false" ht="18" hidden="false" customHeight="true" outlineLevel="0" collapsed="false">
      <c r="A461" s="10" t="s">
        <v>249</v>
      </c>
      <c r="B461" s="10"/>
      <c r="C461" s="12" t="str">
        <f aca="false">'01 ADMIN_ORDER'!C14&amp;" / "&amp;'01 ADMIN_ORDER'!D14</f>
        <v>FRONTCOURT LOW / LA6604</v>
      </c>
      <c r="D461" s="12"/>
      <c r="E461" s="12"/>
      <c r="F461" s="12"/>
      <c r="G461" s="12"/>
      <c r="H461" s="12"/>
    </row>
    <row r="462" customFormat="false" ht="18" hidden="false" customHeight="true" outlineLevel="0" collapsed="false">
      <c r="A462" s="10" t="s">
        <v>250</v>
      </c>
      <c r="B462" s="10"/>
      <c r="C462" s="12" t="str">
        <f aca="false">'01 ADMIN_ORDER'!E14</f>
        <v>903494092</v>
      </c>
      <c r="D462" s="12"/>
      <c r="E462" s="12"/>
      <c r="F462" s="12"/>
      <c r="G462" s="12"/>
      <c r="H462" s="12"/>
    </row>
    <row r="463" customFormat="false" ht="27.75" hidden="false" customHeight="true" outlineLevel="0" collapsed="false">
      <c r="A463" s="10" t="s">
        <v>251</v>
      </c>
      <c r="B463" s="10"/>
      <c r="C463" s="12" t="str">
        <f aca="false">'01 ADMIN_ORDER'!H14</f>
        <v>CORE BLACK/FTWR WHITE/CORE BLACK</v>
      </c>
      <c r="D463" s="12"/>
      <c r="E463" s="12"/>
      <c r="F463" s="12"/>
      <c r="G463" s="12"/>
      <c r="H463" s="12"/>
    </row>
    <row r="464" customFormat="false" ht="18" hidden="false" customHeight="true" outlineLevel="0" collapsed="false">
      <c r="A464" s="10" t="s">
        <v>252</v>
      </c>
      <c r="B464" s="10"/>
      <c r="C464" s="12" t="str">
        <f aca="false">'01 ADMIN_ORDER'!B14&amp;" / "&amp;'01 ADMIN_ORDER'!G14</f>
        <v>A-19 / Italy</v>
      </c>
      <c r="D464" s="12"/>
      <c r="E464" s="12"/>
      <c r="F464" s="12"/>
      <c r="G464" s="12"/>
      <c r="H464" s="12"/>
    </row>
    <row r="465" customFormat="false" ht="18" hidden="false" customHeight="true" outlineLevel="0" collapsed="false">
      <c r="A465" s="10" t="s">
        <v>253</v>
      </c>
      <c r="B465" s="10"/>
      <c r="C465" s="13" t="str">
        <f aca="false">'01 ADMIN_ORDER'!I14&amp;" / "&amp;IF('04 KESIAPAN'!B14="","UOM BELUM DIISI",'04 KESIAPAN'!B14)</f>
        <v>165 / UOM BELUM DIISI</v>
      </c>
      <c r="D465" s="13"/>
      <c r="E465" s="13"/>
      <c r="F465" s="13"/>
      <c r="G465" s="13"/>
      <c r="H465" s="13"/>
    </row>
    <row r="466" customFormat="false" ht="18" hidden="false" customHeight="true" outlineLevel="0" collapsed="false">
      <c r="A466" s="13" t="str">
        <f aca="false">IF('04 KESIAPAN'!C14="","SISTEM UKURAN BELUM DIISI",'04 KESIAPAN'!C14)&amp;" | Tanda -: "&amp;IF('04 KESIAPAN'!D14="","BELUM DIKONFIRMASI",'04 KESIAPAN'!D14)</f>
        <v>SISTEM UKURAN BELUM DIISI | Tanda -: BELUM DIKONFIRMASI</v>
      </c>
      <c r="B466" s="13"/>
      <c r="C466" s="13"/>
      <c r="D466" s="13"/>
      <c r="E466" s="13"/>
      <c r="F466" s="13"/>
      <c r="G466" s="13"/>
      <c r="H466" s="13"/>
    </row>
    <row r="467" customFormat="false" ht="18" hidden="false" customHeight="true" outlineLevel="0" collapsed="false">
      <c r="A467" s="7" t="s">
        <v>254</v>
      </c>
      <c r="B467" s="7"/>
      <c r="C467" s="7"/>
      <c r="D467" s="7"/>
      <c r="E467" s="7"/>
      <c r="F467" s="7"/>
      <c r="G467" s="7"/>
      <c r="H467" s="7"/>
    </row>
    <row r="468" customFormat="false" ht="18" hidden="false" customHeight="true" outlineLevel="0" collapsed="false">
      <c r="A468" s="14" t="s">
        <v>214</v>
      </c>
      <c r="B468" s="0" t="n">
        <f aca="false">'02 SIZE_RUN'!D14</f>
        <v>0</v>
      </c>
      <c r="C468" s="14" t="s">
        <v>215</v>
      </c>
      <c r="D468" s="0" t="n">
        <f aca="false">'02 SIZE_RUN'!E14</f>
        <v>0</v>
      </c>
      <c r="E468" s="14" t="s">
        <v>216</v>
      </c>
      <c r="F468" s="0" t="n">
        <f aca="false">'02 SIZE_RUN'!F14</f>
        <v>0</v>
      </c>
      <c r="G468" s="14" t="s">
        <v>217</v>
      </c>
      <c r="H468" s="0" t="n">
        <f aca="false">'02 SIZE_RUN'!G14</f>
        <v>0</v>
      </c>
    </row>
    <row r="469" customFormat="false" ht="18" hidden="false" customHeight="true" outlineLevel="0" collapsed="false">
      <c r="A469" s="14" t="s">
        <v>218</v>
      </c>
      <c r="B469" s="0" t="n">
        <f aca="false">'02 SIZE_RUN'!H14</f>
        <v>0</v>
      </c>
      <c r="C469" s="14" t="s">
        <v>219</v>
      </c>
      <c r="D469" s="0" t="n">
        <f aca="false">'02 SIZE_RUN'!I14</f>
        <v>0</v>
      </c>
      <c r="E469" s="14" t="s">
        <v>220</v>
      </c>
      <c r="F469" s="0" t="n">
        <f aca="false">'02 SIZE_RUN'!J14</f>
        <v>5</v>
      </c>
      <c r="G469" s="14" t="s">
        <v>221</v>
      </c>
      <c r="H469" s="0" t="n">
        <f aca="false">'02 SIZE_RUN'!K14</f>
        <v>5</v>
      </c>
    </row>
    <row r="470" customFormat="false" ht="18" hidden="false" customHeight="true" outlineLevel="0" collapsed="false">
      <c r="A470" s="14" t="s">
        <v>222</v>
      </c>
      <c r="B470" s="0" t="n">
        <f aca="false">'02 SIZE_RUN'!L14</f>
        <v>10</v>
      </c>
      <c r="C470" s="14" t="s">
        <v>223</v>
      </c>
      <c r="D470" s="0" t="n">
        <f aca="false">'02 SIZE_RUN'!M14</f>
        <v>10</v>
      </c>
      <c r="E470" s="14" t="s">
        <v>224</v>
      </c>
      <c r="F470" s="0" t="n">
        <f aca="false">'02 SIZE_RUN'!N14</f>
        <v>15</v>
      </c>
      <c r="G470" s="14" t="s">
        <v>225</v>
      </c>
      <c r="H470" s="0" t="n">
        <f aca="false">'02 SIZE_RUN'!O14</f>
        <v>30</v>
      </c>
    </row>
    <row r="471" customFormat="false" ht="18" hidden="false" customHeight="true" outlineLevel="0" collapsed="false">
      <c r="A471" s="14" t="s">
        <v>226</v>
      </c>
      <c r="B471" s="0" t="n">
        <f aca="false">'02 SIZE_RUN'!P14</f>
        <v>35</v>
      </c>
      <c r="C471" s="14" t="s">
        <v>227</v>
      </c>
      <c r="D471" s="0" t="n">
        <f aca="false">'02 SIZE_RUN'!Q14</f>
        <v>30</v>
      </c>
      <c r="E471" s="14" t="s">
        <v>228</v>
      </c>
      <c r="F471" s="0" t="n">
        <f aca="false">'02 SIZE_RUN'!R14</f>
        <v>10</v>
      </c>
      <c r="G471" s="14" t="s">
        <v>229</v>
      </c>
      <c r="H471" s="0" t="n">
        <f aca="false">'02 SIZE_RUN'!S14</f>
        <v>5</v>
      </c>
    </row>
    <row r="472" customFormat="false" ht="18" hidden="false" customHeight="true" outlineLevel="0" collapsed="false">
      <c r="A472" s="14" t="s">
        <v>230</v>
      </c>
      <c r="B472" s="0" t="n">
        <f aca="false">'02 SIZE_RUN'!T14</f>
        <v>5</v>
      </c>
      <c r="C472" s="14" t="s">
        <v>231</v>
      </c>
      <c r="D472" s="0" t="n">
        <f aca="false">'02 SIZE_RUN'!U14</f>
        <v>5</v>
      </c>
      <c r="E472" s="14" t="s">
        <v>232</v>
      </c>
      <c r="F472" s="0" t="n">
        <f aca="false">'02 SIZE_RUN'!V14</f>
        <v>0</v>
      </c>
      <c r="G472" s="14" t="s">
        <v>233</v>
      </c>
      <c r="H472" s="0" t="n">
        <f aca="false">'02 SIZE_RUN'!W14</f>
        <v>0</v>
      </c>
    </row>
    <row r="473" customFormat="false" ht="18" hidden="false" customHeight="true" outlineLevel="0" collapsed="false">
      <c r="A473" s="14" t="s">
        <v>234</v>
      </c>
      <c r="B473" s="0" t="n">
        <f aca="false">'02 SIZE_RUN'!X14</f>
        <v>0</v>
      </c>
      <c r="C473" s="14" t="s">
        <v>235</v>
      </c>
      <c r="D473" s="0" t="n">
        <f aca="false">'02 SIZE_RUN'!Y14</f>
        <v>0</v>
      </c>
      <c r="E473" s="14" t="s">
        <v>236</v>
      </c>
      <c r="F473" s="0" t="n">
        <f aca="false">'02 SIZE_RUN'!Z14</f>
        <v>0</v>
      </c>
      <c r="G473" s="14" t="s">
        <v>237</v>
      </c>
      <c r="H473" s="0" t="n">
        <f aca="false">'02 SIZE_RUN'!AA14</f>
        <v>0</v>
      </c>
    </row>
    <row r="474" customFormat="false" ht="18" hidden="false" customHeight="true" outlineLevel="0" collapsed="false">
      <c r="A474" s="14" t="s">
        <v>238</v>
      </c>
      <c r="B474" s="0" t="n">
        <f aca="false">'02 SIZE_RUN'!AB14</f>
        <v>0</v>
      </c>
      <c r="C474" s="14" t="s">
        <v>239</v>
      </c>
      <c r="D474" s="0" t="n">
        <f aca="false">'02 SIZE_RUN'!AC14</f>
        <v>0</v>
      </c>
      <c r="E474" s="14" t="s">
        <v>240</v>
      </c>
      <c r="F474" s="0" t="n">
        <f aca="false">'02 SIZE_RUN'!AD14</f>
        <v>0</v>
      </c>
      <c r="G474" s="14" t="s">
        <v>241</v>
      </c>
      <c r="H474" s="0" t="n">
        <f aca="false">'02 SIZE_RUN'!AE14</f>
        <v>0</v>
      </c>
    </row>
    <row r="475" customFormat="false" ht="18" hidden="false" customHeight="true" outlineLevel="0" collapsed="false">
      <c r="A475" s="14" t="s">
        <v>242</v>
      </c>
      <c r="B475" s="0" t="n">
        <f aca="false">'02 SIZE_RUN'!AF14</f>
        <v>0</v>
      </c>
    </row>
    <row r="476" customFormat="false" ht="18" hidden="false" customHeight="true" outlineLevel="0" collapsed="false">
      <c r="A476" s="10" t="str">
        <f aca="false">"TOTAL SIZE: "&amp;'02 SIZE_RUN'!AG14&amp;" | SELISIH: "&amp;'02 SIZE_RUN'!AH14</f>
        <v>TOTAL SIZE: 165 | SELISIH: 0</v>
      </c>
      <c r="B476" s="10"/>
      <c r="C476" s="10"/>
      <c r="D476" s="10"/>
      <c r="E476" s="10"/>
      <c r="F476" s="10"/>
      <c r="G476" s="10"/>
      <c r="H476" s="10"/>
    </row>
    <row r="477" customFormat="false" ht="18" hidden="false" customHeight="true" outlineLevel="0" collapsed="false">
      <c r="A477" s="10" t="s">
        <v>255</v>
      </c>
      <c r="B477" s="10"/>
      <c r="C477" s="10"/>
      <c r="D477" s="13" t="str">
        <f aca="false">IF('01 ADMIN_ORDER'!P14="","BELUM DITETAPKAN",TEXT('01 ADMIN_ORDER'!P14,"dd mmm yyyy"))</f>
        <v>BELUM DITETAPKAN</v>
      </c>
      <c r="E477" s="13"/>
      <c r="F477" s="13"/>
      <c r="G477" s="13"/>
      <c r="H477" s="13"/>
    </row>
    <row r="478" customFormat="false" ht="18" hidden="false" customHeight="true" outlineLevel="0" collapsed="false">
      <c r="A478" s="10" t="s">
        <v>256</v>
      </c>
      <c r="B478" s="10"/>
      <c r="C478" s="10"/>
      <c r="D478" s="13" t="str">
        <f aca="false">IF('01 ADMIN_ORDER'!Q14="","BELUM DITETAPKAN",TEXT('01 ADMIN_ORDER'!Q14,"dd mmm yyyy"))</f>
        <v>BELUM DITETAPKAN</v>
      </c>
      <c r="E478" s="13"/>
      <c r="F478" s="13"/>
      <c r="G478" s="13"/>
      <c r="H478" s="13"/>
    </row>
    <row r="479" customFormat="false" ht="25.5" hidden="false" customHeight="true" outlineLevel="0" collapsed="false">
      <c r="A479" s="12" t="str">
        <f aca="false">"REFERENSI ASSEMBLY (bukan target upper): "&amp;TEXT('01 ADMIN_ORDER'!M14,"dd mmm yyyy")&amp;" - "&amp;TEXT('01 ADMIN_ORDER'!N14,"dd mmm yyyy")</f>
        <v>REFERENSI ASSEMBLY (bukan target upper): 13 Oct 2026 - 13 Oct 2026</v>
      </c>
      <c r="B479" s="12"/>
      <c r="C479" s="12"/>
      <c r="D479" s="12"/>
      <c r="E479" s="12"/>
      <c r="F479" s="12"/>
      <c r="G479" s="12"/>
      <c r="H479" s="12"/>
    </row>
    <row r="480" customFormat="false" ht="18" hidden="false" customHeight="true" outlineLevel="0" collapsed="false">
      <c r="A480" s="10" t="s">
        <v>257</v>
      </c>
      <c r="B480" s="10"/>
      <c r="C480" s="10"/>
      <c r="D480" s="13" t="str">
        <f aca="false">IF('04 KESIAPAN'!G14="","BELUM DIISI",'04 KESIAPAN'!G14)</f>
        <v>BELUM DIISI</v>
      </c>
      <c r="E480" s="13"/>
      <c r="F480" s="13"/>
      <c r="G480" s="13"/>
      <c r="H480" s="13"/>
    </row>
    <row r="481" customFormat="false" ht="18" hidden="false" customHeight="true" outlineLevel="0" collapsed="false">
      <c r="A481" s="10" t="s">
        <v>258</v>
      </c>
      <c r="B481" s="10"/>
      <c r="C481" s="10"/>
      <c r="D481" s="13" t="str">
        <f aca="false">IF('04 KESIAPAN'!H14="","BELUM DIISI",'04 KESIAPAN'!H14)</f>
        <v>BELUM DIISI</v>
      </c>
      <c r="E481" s="13"/>
      <c r="F481" s="13"/>
      <c r="G481" s="13"/>
      <c r="H481" s="13"/>
    </row>
    <row r="482" customFormat="false" ht="18" hidden="false" customHeight="true" outlineLevel="0" collapsed="false">
      <c r="A482" s="10" t="s">
        <v>259</v>
      </c>
      <c r="B482" s="10"/>
      <c r="C482" s="10"/>
      <c r="D482" s="13" t="str">
        <f aca="false">IF('04 KESIAPAN'!I14="","BELUM DIISI",'04 KESIAPAN'!I14)</f>
        <v>BELUM DIISI</v>
      </c>
      <c r="E482" s="13"/>
      <c r="F482" s="13"/>
      <c r="G482" s="13"/>
      <c r="H482" s="13"/>
    </row>
    <row r="483" customFormat="false" ht="18" hidden="false" customHeight="true" outlineLevel="0" collapsed="false">
      <c r="A483" s="10" t="s">
        <v>260</v>
      </c>
      <c r="B483" s="10"/>
      <c r="C483" s="10"/>
      <c r="D483" s="13" t="str">
        <f aca="false">IF('04 KESIAPAN'!K14="","BELUM DIISI",'04 KESIAPAN'!K14)</f>
        <v>BELUM DIISI</v>
      </c>
      <c r="E483" s="13"/>
      <c r="F483" s="13"/>
      <c r="G483" s="13"/>
      <c r="H483" s="13"/>
    </row>
    <row r="484" customFormat="false" ht="18" hidden="false" customHeight="true" outlineLevel="0" collapsed="false">
      <c r="A484" s="10" t="s">
        <v>261</v>
      </c>
      <c r="B484" s="10"/>
      <c r="C484" s="10"/>
      <c r="D484" s="13" t="str">
        <f aca="false">IF('04 KESIAPAN'!L14="","BELUM DIISI",'04 KESIAPAN'!L14)</f>
        <v>BELUM DIISI</v>
      </c>
      <c r="E484" s="13"/>
      <c r="F484" s="13"/>
      <c r="G484" s="13"/>
      <c r="H484" s="13"/>
    </row>
    <row r="485" customFormat="false" ht="18" hidden="false" customHeight="true" outlineLevel="0" collapsed="false">
      <c r="A485" s="10" t="s">
        <v>262</v>
      </c>
      <c r="B485" s="10"/>
      <c r="C485" s="10"/>
      <c r="D485" s="13" t="str">
        <f aca="false">IF('04 KESIAPAN'!N14="","BELUM DIISI",'04 KESIAPAN'!N14)</f>
        <v>BELUM DIISI</v>
      </c>
      <c r="E485" s="13"/>
      <c r="F485" s="13"/>
      <c r="G485" s="13"/>
      <c r="H485" s="13"/>
    </row>
    <row r="486" customFormat="false" ht="18" hidden="false" customHeight="true" outlineLevel="0" collapsed="false">
      <c r="A486" s="10" t="s">
        <v>263</v>
      </c>
      <c r="B486" s="10"/>
      <c r="C486" s="10"/>
      <c r="D486" s="13" t="str">
        <f aca="false">IF('04 KESIAPAN'!P14="","BELUM DIISI",'04 KESIAPAN'!P14)</f>
        <v>BELUM DIISI</v>
      </c>
      <c r="E486" s="13"/>
      <c r="F486" s="13"/>
      <c r="G486" s="13"/>
      <c r="H486" s="13"/>
    </row>
    <row r="487" customFormat="false" ht="18" hidden="false" customHeight="true" outlineLevel="0" collapsed="false">
      <c r="A487" s="7" t="s">
        <v>264</v>
      </c>
      <c r="B487" s="7"/>
      <c r="C487" s="7"/>
      <c r="D487" s="7"/>
      <c r="E487" s="7"/>
      <c r="F487" s="7"/>
      <c r="G487" s="7"/>
      <c r="H487" s="7"/>
    </row>
    <row r="488" customFormat="false" ht="18" hidden="false" customHeight="true" outlineLevel="0" collapsed="false">
      <c r="A488" s="13"/>
      <c r="B488" s="13"/>
      <c r="C488" s="13"/>
      <c r="D488" s="13"/>
      <c r="E488" s="13"/>
      <c r="F488" s="13"/>
      <c r="G488" s="13"/>
      <c r="H488" s="13"/>
    </row>
    <row r="489" customFormat="false" ht="18" hidden="false" customHeight="true" outlineLevel="0" collapsed="false">
      <c r="A489" s="13"/>
      <c r="B489" s="13"/>
      <c r="C489" s="13"/>
      <c r="D489" s="13"/>
      <c r="E489" s="13"/>
      <c r="F489" s="13"/>
      <c r="G489" s="13"/>
      <c r="H489" s="13"/>
    </row>
    <row r="490" customFormat="false" ht="18" hidden="false" customHeight="true" outlineLevel="0" collapsed="false">
      <c r="A490" s="13"/>
      <c r="B490" s="13"/>
      <c r="C490" s="13"/>
      <c r="D490" s="13"/>
      <c r="E490" s="13"/>
      <c r="F490" s="13"/>
      <c r="G490" s="13"/>
      <c r="H490" s="13"/>
    </row>
    <row r="491" customFormat="false" ht="18" hidden="false" customHeight="true" outlineLevel="0" collapsed="false">
      <c r="A491" s="12" t="s">
        <v>265</v>
      </c>
      <c r="B491" s="12"/>
      <c r="C491" s="12"/>
      <c r="D491" s="12"/>
      <c r="E491" s="12" t="s">
        <v>266</v>
      </c>
      <c r="F491" s="12"/>
      <c r="G491" s="12"/>
      <c r="H491" s="12"/>
    </row>
    <row r="492" customFormat="false" ht="18" hidden="false" customHeight="true" outlineLevel="0" collapsed="false">
      <c r="A492" s="12" t="s">
        <v>279</v>
      </c>
      <c r="B492" s="12"/>
      <c r="C492" s="12"/>
      <c r="D492" s="12"/>
      <c r="E492" s="12"/>
      <c r="F492" s="12"/>
      <c r="G492" s="12"/>
      <c r="H492" s="12"/>
    </row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25.5" hidden="false" customHeight="true" outlineLevel="0" collapsed="false">
      <c r="A495" s="7" t="s">
        <v>246</v>
      </c>
      <c r="B495" s="7"/>
      <c r="C495" s="7"/>
      <c r="D495" s="7"/>
      <c r="E495" s="7"/>
      <c r="F495" s="7"/>
      <c r="G495" s="7"/>
      <c r="H495" s="7"/>
    </row>
    <row r="496" customFormat="false" ht="18" hidden="false" customHeight="true" outlineLevel="0" collapsed="false">
      <c r="A496" s="8" t="str">
        <f aca="false">'01 ADMIN_ORDER'!R15</f>
        <v>DRAFT - PERLU VERIFIKASI</v>
      </c>
      <c r="B496" s="8"/>
      <c r="C496" s="8"/>
      <c r="D496" s="8"/>
      <c r="E496" s="8"/>
      <c r="F496" s="8"/>
      <c r="G496" s="8"/>
      <c r="H496" s="8"/>
    </row>
    <row r="497" customFormat="false" ht="18" hidden="false" customHeight="true" outlineLevel="0" collapsed="false">
      <c r="A497" s="9" t="s">
        <v>247</v>
      </c>
      <c r="B497" s="9"/>
      <c r="C497" s="9"/>
      <c r="D497" s="9"/>
      <c r="E497" s="9"/>
      <c r="F497" s="9"/>
      <c r="G497" s="9"/>
      <c r="H497" s="9"/>
    </row>
    <row r="498" customFormat="false" ht="18" hidden="false" customHeight="true" outlineLevel="0" collapsed="false">
      <c r="A498" s="10" t="s">
        <v>248</v>
      </c>
      <c r="B498" s="10"/>
      <c r="C498" s="11" t="str">
        <f aca="false">'01 ADMIN_ORDER'!A15</f>
        <v>150/10/14 (59)</v>
      </c>
      <c r="D498" s="11"/>
      <c r="E498" s="11"/>
      <c r="F498" s="11"/>
      <c r="G498" s="11"/>
      <c r="H498" s="11"/>
    </row>
    <row r="499" customFormat="false" ht="18" hidden="false" customHeight="true" outlineLevel="0" collapsed="false">
      <c r="A499" s="10" t="s">
        <v>249</v>
      </c>
      <c r="B499" s="10"/>
      <c r="C499" s="12" t="str">
        <f aca="false">'01 ADMIN_ORDER'!C15&amp;" / "&amp;'01 ADMIN_ORDER'!D15</f>
        <v>FRONTCOURT LOW / LA6617</v>
      </c>
      <c r="D499" s="12"/>
      <c r="E499" s="12"/>
      <c r="F499" s="12"/>
      <c r="G499" s="12"/>
      <c r="H499" s="12"/>
    </row>
    <row r="500" customFormat="false" ht="18" hidden="false" customHeight="true" outlineLevel="0" collapsed="false">
      <c r="A500" s="10" t="s">
        <v>250</v>
      </c>
      <c r="B500" s="10"/>
      <c r="C500" s="12" t="str">
        <f aca="false">'01 ADMIN_ORDER'!E15</f>
        <v>903413429</v>
      </c>
      <c r="D500" s="12"/>
      <c r="E500" s="12"/>
      <c r="F500" s="12"/>
      <c r="G500" s="12"/>
      <c r="H500" s="12"/>
    </row>
    <row r="501" customFormat="false" ht="27.75" hidden="false" customHeight="true" outlineLevel="0" collapsed="false">
      <c r="A501" s="10" t="s">
        <v>251</v>
      </c>
      <c r="B501" s="10"/>
      <c r="C501" s="12" t="str">
        <f aca="false">'01 ADMIN_ORDER'!H15</f>
        <v>OLIVE TWO/OFF WHITE/OLIVE THREE</v>
      </c>
      <c r="D501" s="12"/>
      <c r="E501" s="12"/>
      <c r="F501" s="12"/>
      <c r="G501" s="12"/>
      <c r="H501" s="12"/>
    </row>
    <row r="502" customFormat="false" ht="18" hidden="false" customHeight="true" outlineLevel="0" collapsed="false">
      <c r="A502" s="10" t="s">
        <v>252</v>
      </c>
      <c r="B502" s="10"/>
      <c r="C502" s="12" t="str">
        <f aca="false">'01 ADMIN_ORDER'!B15&amp;" / "&amp;'01 ADMIN_ORDER'!G15</f>
        <v>A-19 / Italy (Zalando)</v>
      </c>
      <c r="D502" s="12"/>
      <c r="E502" s="12"/>
      <c r="F502" s="12"/>
      <c r="G502" s="12"/>
      <c r="H502" s="12"/>
    </row>
    <row r="503" customFormat="false" ht="18" hidden="false" customHeight="true" outlineLevel="0" collapsed="false">
      <c r="A503" s="10" t="s">
        <v>253</v>
      </c>
      <c r="B503" s="10"/>
      <c r="C503" s="13" t="str">
        <f aca="false">'01 ADMIN_ORDER'!I15&amp;" / "&amp;IF('04 KESIAPAN'!B15="","UOM BELUM DIISI",'04 KESIAPAN'!B15)</f>
        <v>145 / UOM BELUM DIISI</v>
      </c>
      <c r="D503" s="13"/>
      <c r="E503" s="13"/>
      <c r="F503" s="13"/>
      <c r="G503" s="13"/>
      <c r="H503" s="13"/>
    </row>
    <row r="504" customFormat="false" ht="18" hidden="false" customHeight="true" outlineLevel="0" collapsed="false">
      <c r="A504" s="13" t="str">
        <f aca="false">IF('04 KESIAPAN'!C15="","SISTEM UKURAN BELUM DIISI",'04 KESIAPAN'!C15)&amp;" | Tanda -: "&amp;IF('04 KESIAPAN'!D15="","BELUM DIKONFIRMASI",'04 KESIAPAN'!D15)</f>
        <v>SISTEM UKURAN BELUM DIISI | Tanda -: BELUM DIKONFIRMASI</v>
      </c>
      <c r="B504" s="13"/>
      <c r="C504" s="13"/>
      <c r="D504" s="13"/>
      <c r="E504" s="13"/>
      <c r="F504" s="13"/>
      <c r="G504" s="13"/>
      <c r="H504" s="13"/>
    </row>
    <row r="505" customFormat="false" ht="18" hidden="false" customHeight="true" outlineLevel="0" collapsed="false">
      <c r="A505" s="7" t="s">
        <v>254</v>
      </c>
      <c r="B505" s="7"/>
      <c r="C505" s="7"/>
      <c r="D505" s="7"/>
      <c r="E505" s="7"/>
      <c r="F505" s="7"/>
      <c r="G505" s="7"/>
      <c r="H505" s="7"/>
    </row>
    <row r="506" customFormat="false" ht="18" hidden="false" customHeight="true" outlineLevel="0" collapsed="false">
      <c r="A506" s="14" t="s">
        <v>214</v>
      </c>
      <c r="B506" s="0" t="n">
        <f aca="false">'02 SIZE_RUN'!D15</f>
        <v>0</v>
      </c>
      <c r="C506" s="14" t="s">
        <v>215</v>
      </c>
      <c r="D506" s="0" t="n">
        <f aca="false">'02 SIZE_RUN'!E15</f>
        <v>0</v>
      </c>
      <c r="E506" s="14" t="s">
        <v>216</v>
      </c>
      <c r="F506" s="0" t="n">
        <f aca="false">'02 SIZE_RUN'!F15</f>
        <v>0</v>
      </c>
      <c r="G506" s="14" t="s">
        <v>217</v>
      </c>
      <c r="H506" s="0" t="n">
        <f aca="false">'02 SIZE_RUN'!G15</f>
        <v>5</v>
      </c>
    </row>
    <row r="507" customFormat="false" ht="18" hidden="false" customHeight="true" outlineLevel="0" collapsed="false">
      <c r="A507" s="14" t="s">
        <v>218</v>
      </c>
      <c r="B507" s="0" t="n">
        <f aca="false">'02 SIZE_RUN'!H15</f>
        <v>10</v>
      </c>
      <c r="C507" s="14" t="s">
        <v>219</v>
      </c>
      <c r="D507" s="0" t="n">
        <f aca="false">'02 SIZE_RUN'!I15</f>
        <v>10</v>
      </c>
      <c r="E507" s="14" t="s">
        <v>220</v>
      </c>
      <c r="F507" s="0" t="n">
        <f aca="false">'02 SIZE_RUN'!J15</f>
        <v>10</v>
      </c>
      <c r="G507" s="14" t="s">
        <v>221</v>
      </c>
      <c r="H507" s="0" t="n">
        <f aca="false">'02 SIZE_RUN'!K15</f>
        <v>0</v>
      </c>
    </row>
    <row r="508" customFormat="false" ht="18" hidden="false" customHeight="true" outlineLevel="0" collapsed="false">
      <c r="A508" s="14" t="s">
        <v>222</v>
      </c>
      <c r="B508" s="0" t="n">
        <f aca="false">'02 SIZE_RUN'!L15</f>
        <v>40</v>
      </c>
      <c r="C508" s="14" t="s">
        <v>223</v>
      </c>
      <c r="D508" s="0" t="n">
        <f aca="false">'02 SIZE_RUN'!M15</f>
        <v>0</v>
      </c>
      <c r="E508" s="14" t="s">
        <v>224</v>
      </c>
      <c r="F508" s="0" t="n">
        <f aca="false">'02 SIZE_RUN'!N15</f>
        <v>0</v>
      </c>
      <c r="G508" s="14" t="s">
        <v>225</v>
      </c>
      <c r="H508" s="0" t="n">
        <f aca="false">'02 SIZE_RUN'!O15</f>
        <v>50</v>
      </c>
    </row>
    <row r="509" customFormat="false" ht="18" hidden="false" customHeight="true" outlineLevel="0" collapsed="false">
      <c r="A509" s="14" t="s">
        <v>226</v>
      </c>
      <c r="B509" s="0" t="n">
        <f aca="false">'02 SIZE_RUN'!P15</f>
        <v>0</v>
      </c>
      <c r="C509" s="14" t="s">
        <v>227</v>
      </c>
      <c r="D509" s="0" t="n">
        <f aca="false">'02 SIZE_RUN'!Q15</f>
        <v>0</v>
      </c>
      <c r="E509" s="14" t="s">
        <v>228</v>
      </c>
      <c r="F509" s="0" t="n">
        <f aca="false">'02 SIZE_RUN'!R15</f>
        <v>10</v>
      </c>
      <c r="G509" s="14" t="s">
        <v>229</v>
      </c>
      <c r="H509" s="0" t="n">
        <f aca="false">'02 SIZE_RUN'!S15</f>
        <v>0</v>
      </c>
    </row>
    <row r="510" customFormat="false" ht="18" hidden="false" customHeight="true" outlineLevel="0" collapsed="false">
      <c r="A510" s="14" t="s">
        <v>230</v>
      </c>
      <c r="B510" s="0" t="n">
        <f aca="false">'02 SIZE_RUN'!T15</f>
        <v>0</v>
      </c>
      <c r="C510" s="14" t="s">
        <v>231</v>
      </c>
      <c r="D510" s="0" t="n">
        <f aca="false">'02 SIZE_RUN'!U15</f>
        <v>5</v>
      </c>
      <c r="E510" s="14" t="s">
        <v>232</v>
      </c>
      <c r="F510" s="0" t="n">
        <f aca="false">'02 SIZE_RUN'!V15</f>
        <v>0</v>
      </c>
      <c r="G510" s="14" t="s">
        <v>233</v>
      </c>
      <c r="H510" s="0" t="n">
        <f aca="false">'02 SIZE_RUN'!W15</f>
        <v>0</v>
      </c>
    </row>
    <row r="511" customFormat="false" ht="18" hidden="false" customHeight="true" outlineLevel="0" collapsed="false">
      <c r="A511" s="14" t="s">
        <v>234</v>
      </c>
      <c r="B511" s="0" t="n">
        <f aca="false">'02 SIZE_RUN'!X15</f>
        <v>0</v>
      </c>
      <c r="C511" s="14" t="s">
        <v>235</v>
      </c>
      <c r="D511" s="0" t="n">
        <f aca="false">'02 SIZE_RUN'!Y15</f>
        <v>5</v>
      </c>
      <c r="E511" s="14" t="s">
        <v>236</v>
      </c>
      <c r="F511" s="0" t="n">
        <f aca="false">'02 SIZE_RUN'!Z15</f>
        <v>0</v>
      </c>
      <c r="G511" s="14" t="s">
        <v>237</v>
      </c>
      <c r="H511" s="0" t="n">
        <f aca="false">'02 SIZE_RUN'!AA15</f>
        <v>0</v>
      </c>
    </row>
    <row r="512" customFormat="false" ht="18" hidden="false" customHeight="true" outlineLevel="0" collapsed="false">
      <c r="A512" s="14" t="s">
        <v>238</v>
      </c>
      <c r="B512" s="0" t="n">
        <f aca="false">'02 SIZE_RUN'!AB15</f>
        <v>0</v>
      </c>
      <c r="C512" s="14" t="s">
        <v>239</v>
      </c>
      <c r="D512" s="0" t="n">
        <f aca="false">'02 SIZE_RUN'!AC15</f>
        <v>0</v>
      </c>
      <c r="E512" s="14" t="s">
        <v>240</v>
      </c>
      <c r="F512" s="0" t="n">
        <f aca="false">'02 SIZE_RUN'!AD15</f>
        <v>0</v>
      </c>
      <c r="G512" s="14" t="s">
        <v>241</v>
      </c>
      <c r="H512" s="0" t="n">
        <f aca="false">'02 SIZE_RUN'!AE15</f>
        <v>0</v>
      </c>
    </row>
    <row r="513" customFormat="false" ht="18" hidden="false" customHeight="true" outlineLevel="0" collapsed="false">
      <c r="A513" s="14" t="s">
        <v>242</v>
      </c>
      <c r="B513" s="0" t="n">
        <f aca="false">'02 SIZE_RUN'!AF15</f>
        <v>0</v>
      </c>
    </row>
    <row r="514" customFormat="false" ht="18" hidden="false" customHeight="true" outlineLevel="0" collapsed="false">
      <c r="A514" s="10" t="str">
        <f aca="false">"TOTAL SIZE: "&amp;'02 SIZE_RUN'!AG15&amp;" | SELISIH: "&amp;'02 SIZE_RUN'!AH15</f>
        <v>TOTAL SIZE: 145 | SELISIH: 0</v>
      </c>
      <c r="B514" s="10"/>
      <c r="C514" s="10"/>
      <c r="D514" s="10"/>
      <c r="E514" s="10"/>
      <c r="F514" s="10"/>
      <c r="G514" s="10"/>
      <c r="H514" s="10"/>
    </row>
    <row r="515" customFormat="false" ht="18" hidden="false" customHeight="true" outlineLevel="0" collapsed="false">
      <c r="A515" s="10" t="s">
        <v>255</v>
      </c>
      <c r="B515" s="10"/>
      <c r="C515" s="10"/>
      <c r="D515" s="13" t="str">
        <f aca="false">IF('01 ADMIN_ORDER'!P15="","BELUM DITETAPKAN",TEXT('01 ADMIN_ORDER'!P15,"dd mmm yyyy"))</f>
        <v>BELUM DITETAPKAN</v>
      </c>
      <c r="E515" s="13"/>
      <c r="F515" s="13"/>
      <c r="G515" s="13"/>
      <c r="H515" s="13"/>
    </row>
    <row r="516" customFormat="false" ht="18" hidden="false" customHeight="true" outlineLevel="0" collapsed="false">
      <c r="A516" s="10" t="s">
        <v>256</v>
      </c>
      <c r="B516" s="10"/>
      <c r="C516" s="10"/>
      <c r="D516" s="13" t="str">
        <f aca="false">IF('01 ADMIN_ORDER'!Q15="","BELUM DITETAPKAN",TEXT('01 ADMIN_ORDER'!Q15,"dd mmm yyyy"))</f>
        <v>BELUM DITETAPKAN</v>
      </c>
      <c r="E516" s="13"/>
      <c r="F516" s="13"/>
      <c r="G516" s="13"/>
      <c r="H516" s="13"/>
    </row>
    <row r="517" customFormat="false" ht="25.5" hidden="false" customHeight="true" outlineLevel="0" collapsed="false">
      <c r="A517" s="12" t="str">
        <f aca="false">"REFERENSI ASSEMBLY (bukan target upper): "&amp;TEXT('01 ADMIN_ORDER'!M15,"dd mmm yyyy")&amp;" - "&amp;TEXT('01 ADMIN_ORDER'!N15,"dd mmm yyyy")</f>
        <v>REFERENSI ASSEMBLY (bukan target upper): 13 Oct 2026 - 13 Oct 2026</v>
      </c>
      <c r="B517" s="12"/>
      <c r="C517" s="12"/>
      <c r="D517" s="12"/>
      <c r="E517" s="12"/>
      <c r="F517" s="12"/>
      <c r="G517" s="12"/>
      <c r="H517" s="12"/>
    </row>
    <row r="518" customFormat="false" ht="18" hidden="false" customHeight="true" outlineLevel="0" collapsed="false">
      <c r="A518" s="10" t="s">
        <v>257</v>
      </c>
      <c r="B518" s="10"/>
      <c r="C518" s="10"/>
      <c r="D518" s="13" t="str">
        <f aca="false">IF('04 KESIAPAN'!G15="","BELUM DIISI",'04 KESIAPAN'!G15)</f>
        <v>BELUM DIISI</v>
      </c>
      <c r="E518" s="13"/>
      <c r="F518" s="13"/>
      <c r="G518" s="13"/>
      <c r="H518" s="13"/>
    </row>
    <row r="519" customFormat="false" ht="18" hidden="false" customHeight="true" outlineLevel="0" collapsed="false">
      <c r="A519" s="10" t="s">
        <v>258</v>
      </c>
      <c r="B519" s="10"/>
      <c r="C519" s="10"/>
      <c r="D519" s="13" t="str">
        <f aca="false">IF('04 KESIAPAN'!H15="","BELUM DIISI",'04 KESIAPAN'!H15)</f>
        <v>BELUM DIISI</v>
      </c>
      <c r="E519" s="13"/>
      <c r="F519" s="13"/>
      <c r="G519" s="13"/>
      <c r="H519" s="13"/>
    </row>
    <row r="520" customFormat="false" ht="18" hidden="false" customHeight="true" outlineLevel="0" collapsed="false">
      <c r="A520" s="10" t="s">
        <v>259</v>
      </c>
      <c r="B520" s="10"/>
      <c r="C520" s="10"/>
      <c r="D520" s="13" t="str">
        <f aca="false">IF('04 KESIAPAN'!I15="","BELUM DIISI",'04 KESIAPAN'!I15)</f>
        <v>BELUM DIISI</v>
      </c>
      <c r="E520" s="13"/>
      <c r="F520" s="13"/>
      <c r="G520" s="13"/>
      <c r="H520" s="13"/>
    </row>
    <row r="521" customFormat="false" ht="18" hidden="false" customHeight="true" outlineLevel="0" collapsed="false">
      <c r="A521" s="10" t="s">
        <v>260</v>
      </c>
      <c r="B521" s="10"/>
      <c r="C521" s="10"/>
      <c r="D521" s="13" t="str">
        <f aca="false">IF('04 KESIAPAN'!K15="","BELUM DIISI",'04 KESIAPAN'!K15)</f>
        <v>BELUM DIISI</v>
      </c>
      <c r="E521" s="13"/>
      <c r="F521" s="13"/>
      <c r="G521" s="13"/>
      <c r="H521" s="13"/>
    </row>
    <row r="522" customFormat="false" ht="18" hidden="false" customHeight="true" outlineLevel="0" collapsed="false">
      <c r="A522" s="10" t="s">
        <v>261</v>
      </c>
      <c r="B522" s="10"/>
      <c r="C522" s="10"/>
      <c r="D522" s="13" t="str">
        <f aca="false">IF('04 KESIAPAN'!L15="","BELUM DIISI",'04 KESIAPAN'!L15)</f>
        <v>BELUM DIISI</v>
      </c>
      <c r="E522" s="13"/>
      <c r="F522" s="13"/>
      <c r="G522" s="13"/>
      <c r="H522" s="13"/>
    </row>
    <row r="523" customFormat="false" ht="18" hidden="false" customHeight="true" outlineLevel="0" collapsed="false">
      <c r="A523" s="10" t="s">
        <v>262</v>
      </c>
      <c r="B523" s="10"/>
      <c r="C523" s="10"/>
      <c r="D523" s="13" t="str">
        <f aca="false">IF('04 KESIAPAN'!N15="","BELUM DIISI",'04 KESIAPAN'!N15)</f>
        <v>BELUM DIISI</v>
      </c>
      <c r="E523" s="13"/>
      <c r="F523" s="13"/>
      <c r="G523" s="13"/>
      <c r="H523" s="13"/>
    </row>
    <row r="524" customFormat="false" ht="18" hidden="false" customHeight="true" outlineLevel="0" collapsed="false">
      <c r="A524" s="10" t="s">
        <v>263</v>
      </c>
      <c r="B524" s="10"/>
      <c r="C524" s="10"/>
      <c r="D524" s="13" t="str">
        <f aca="false">IF('04 KESIAPAN'!P15="","BELUM DIISI",'04 KESIAPAN'!P15)</f>
        <v>BELUM DIISI</v>
      </c>
      <c r="E524" s="13"/>
      <c r="F524" s="13"/>
      <c r="G524" s="13"/>
      <c r="H524" s="13"/>
    </row>
    <row r="525" customFormat="false" ht="18" hidden="false" customHeight="true" outlineLevel="0" collapsed="false">
      <c r="A525" s="7" t="s">
        <v>264</v>
      </c>
      <c r="B525" s="7"/>
      <c r="C525" s="7"/>
      <c r="D525" s="7"/>
      <c r="E525" s="7"/>
      <c r="F525" s="7"/>
      <c r="G525" s="7"/>
      <c r="H525" s="7"/>
    </row>
    <row r="526" customFormat="false" ht="18" hidden="false" customHeight="true" outlineLevel="0" collapsed="false">
      <c r="A526" s="13"/>
      <c r="B526" s="13"/>
      <c r="C526" s="13"/>
      <c r="D526" s="13"/>
      <c r="E526" s="13"/>
      <c r="F526" s="13"/>
      <c r="G526" s="13"/>
      <c r="H526" s="13"/>
    </row>
    <row r="527" customFormat="false" ht="18" hidden="false" customHeight="true" outlineLevel="0" collapsed="false">
      <c r="A527" s="13"/>
      <c r="B527" s="13"/>
      <c r="C527" s="13"/>
      <c r="D527" s="13"/>
      <c r="E527" s="13"/>
      <c r="F527" s="13"/>
      <c r="G527" s="13"/>
      <c r="H527" s="13"/>
    </row>
    <row r="528" customFormat="false" ht="18" hidden="false" customHeight="true" outlineLevel="0" collapsed="false">
      <c r="A528" s="13"/>
      <c r="B528" s="13"/>
      <c r="C528" s="13"/>
      <c r="D528" s="13"/>
      <c r="E528" s="13"/>
      <c r="F528" s="13"/>
      <c r="G528" s="13"/>
      <c r="H528" s="13"/>
    </row>
    <row r="529" customFormat="false" ht="18" hidden="false" customHeight="true" outlineLevel="0" collapsed="false">
      <c r="A529" s="12" t="s">
        <v>265</v>
      </c>
      <c r="B529" s="12"/>
      <c r="C529" s="12"/>
      <c r="D529" s="12"/>
      <c r="E529" s="12" t="s">
        <v>266</v>
      </c>
      <c r="F529" s="12"/>
      <c r="G529" s="12"/>
      <c r="H529" s="12"/>
    </row>
    <row r="530" customFormat="false" ht="18" hidden="false" customHeight="true" outlineLevel="0" collapsed="false">
      <c r="A530" s="12" t="s">
        <v>280</v>
      </c>
      <c r="B530" s="12"/>
      <c r="C530" s="12"/>
      <c r="D530" s="12"/>
      <c r="E530" s="12"/>
      <c r="F530" s="12"/>
      <c r="G530" s="12"/>
      <c r="H530" s="12"/>
    </row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25.5" hidden="false" customHeight="true" outlineLevel="0" collapsed="false">
      <c r="A533" s="7" t="s">
        <v>246</v>
      </c>
      <c r="B533" s="7"/>
      <c r="C533" s="7"/>
      <c r="D533" s="7"/>
      <c r="E533" s="7"/>
      <c r="F533" s="7"/>
      <c r="G533" s="7"/>
      <c r="H533" s="7"/>
    </row>
    <row r="534" customFormat="false" ht="18" hidden="false" customHeight="true" outlineLevel="0" collapsed="false">
      <c r="A534" s="8" t="str">
        <f aca="false">'01 ADMIN_ORDER'!R16</f>
        <v>DRAFT - PERLU VERIFIKASI</v>
      </c>
      <c r="B534" s="8"/>
      <c r="C534" s="8"/>
      <c r="D534" s="8"/>
      <c r="E534" s="8"/>
      <c r="F534" s="8"/>
      <c r="G534" s="8"/>
      <c r="H534" s="8"/>
    </row>
    <row r="535" customFormat="false" ht="18" hidden="false" customHeight="true" outlineLevel="0" collapsed="false">
      <c r="A535" s="9" t="s">
        <v>247</v>
      </c>
      <c r="B535" s="9"/>
      <c r="C535" s="9"/>
      <c r="D535" s="9"/>
      <c r="E535" s="9"/>
      <c r="F535" s="9"/>
      <c r="G535" s="9"/>
      <c r="H535" s="9"/>
    </row>
    <row r="536" customFormat="false" ht="18" hidden="false" customHeight="true" outlineLevel="0" collapsed="false">
      <c r="A536" s="10" t="s">
        <v>248</v>
      </c>
      <c r="B536" s="10"/>
      <c r="C536" s="11" t="str">
        <f aca="false">'01 ADMIN_ORDER'!A16</f>
        <v>151/10/15 (59)</v>
      </c>
      <c r="D536" s="11"/>
      <c r="E536" s="11"/>
      <c r="F536" s="11"/>
      <c r="G536" s="11"/>
      <c r="H536" s="11"/>
    </row>
    <row r="537" customFormat="false" ht="18" hidden="false" customHeight="true" outlineLevel="0" collapsed="false">
      <c r="A537" s="10" t="s">
        <v>249</v>
      </c>
      <c r="B537" s="10"/>
      <c r="C537" s="12" t="str">
        <f aca="false">'01 ADMIN_ORDER'!C16&amp;" / "&amp;'01 ADMIN_ORDER'!D16</f>
        <v>FRONTCOURT LOW / LA6617</v>
      </c>
      <c r="D537" s="12"/>
      <c r="E537" s="12"/>
      <c r="F537" s="12"/>
      <c r="G537" s="12"/>
      <c r="H537" s="12"/>
    </row>
    <row r="538" customFormat="false" ht="18" hidden="false" customHeight="true" outlineLevel="0" collapsed="false">
      <c r="A538" s="10" t="s">
        <v>250</v>
      </c>
      <c r="B538" s="10"/>
      <c r="C538" s="12" t="str">
        <f aca="false">'01 ADMIN_ORDER'!E16</f>
        <v>903276916</v>
      </c>
      <c r="D538" s="12"/>
      <c r="E538" s="12"/>
      <c r="F538" s="12"/>
      <c r="G538" s="12"/>
      <c r="H538" s="12"/>
    </row>
    <row r="539" customFormat="false" ht="27.75" hidden="false" customHeight="true" outlineLevel="0" collapsed="false">
      <c r="A539" s="10" t="s">
        <v>251</v>
      </c>
      <c r="B539" s="10"/>
      <c r="C539" s="12" t="str">
        <f aca="false">'01 ADMIN_ORDER'!H16</f>
        <v>OLIVE TWO/OFF WHITE/OLIVE THREE</v>
      </c>
      <c r="D539" s="12"/>
      <c r="E539" s="12"/>
      <c r="F539" s="12"/>
      <c r="G539" s="12"/>
      <c r="H539" s="12"/>
    </row>
    <row r="540" customFormat="false" ht="18" hidden="false" customHeight="true" outlineLevel="0" collapsed="false">
      <c r="A540" s="10" t="s">
        <v>252</v>
      </c>
      <c r="B540" s="10"/>
      <c r="C540" s="12" t="str">
        <f aca="false">'01 ADMIN_ORDER'!B16&amp;" / "&amp;'01 ADMIN_ORDER'!G16</f>
        <v>A-19 / Italy (Zalando)</v>
      </c>
      <c r="D540" s="12"/>
      <c r="E540" s="12"/>
      <c r="F540" s="12"/>
      <c r="G540" s="12"/>
      <c r="H540" s="12"/>
    </row>
    <row r="541" customFormat="false" ht="18" hidden="false" customHeight="true" outlineLevel="0" collapsed="false">
      <c r="A541" s="10" t="s">
        <v>253</v>
      </c>
      <c r="B541" s="10"/>
      <c r="C541" s="13" t="str">
        <f aca="false">'01 ADMIN_ORDER'!I16&amp;" / "&amp;IF('04 KESIAPAN'!B16="","UOM BELUM DIISI",'04 KESIAPAN'!B16)</f>
        <v>325 / UOM BELUM DIISI</v>
      </c>
      <c r="D541" s="13"/>
      <c r="E541" s="13"/>
      <c r="F541" s="13"/>
      <c r="G541" s="13"/>
      <c r="H541" s="13"/>
    </row>
    <row r="542" customFormat="false" ht="18" hidden="false" customHeight="true" outlineLevel="0" collapsed="false">
      <c r="A542" s="13" t="str">
        <f aca="false">IF('04 KESIAPAN'!C16="","SISTEM UKURAN BELUM DIISI",'04 KESIAPAN'!C16)&amp;" | Tanda -: "&amp;IF('04 KESIAPAN'!D16="","BELUM DIKONFIRMASI",'04 KESIAPAN'!D16)</f>
        <v>SISTEM UKURAN BELUM DIISI | Tanda -: BELUM DIKONFIRMASI</v>
      </c>
      <c r="B542" s="13"/>
      <c r="C542" s="13"/>
      <c r="D542" s="13"/>
      <c r="E542" s="13"/>
      <c r="F542" s="13"/>
      <c r="G542" s="13"/>
      <c r="H542" s="13"/>
    </row>
    <row r="543" customFormat="false" ht="18" hidden="false" customHeight="true" outlineLevel="0" collapsed="false">
      <c r="A543" s="7" t="s">
        <v>254</v>
      </c>
      <c r="B543" s="7"/>
      <c r="C543" s="7"/>
      <c r="D543" s="7"/>
      <c r="E543" s="7"/>
      <c r="F543" s="7"/>
      <c r="G543" s="7"/>
      <c r="H543" s="7"/>
    </row>
    <row r="544" customFormat="false" ht="18" hidden="false" customHeight="true" outlineLevel="0" collapsed="false">
      <c r="A544" s="14" t="s">
        <v>214</v>
      </c>
      <c r="B544" s="0" t="n">
        <f aca="false">'02 SIZE_RUN'!D16</f>
        <v>0</v>
      </c>
      <c r="C544" s="14" t="s">
        <v>215</v>
      </c>
      <c r="D544" s="0" t="n">
        <f aca="false">'02 SIZE_RUN'!E16</f>
        <v>0</v>
      </c>
      <c r="E544" s="14" t="s">
        <v>216</v>
      </c>
      <c r="F544" s="0" t="n">
        <f aca="false">'02 SIZE_RUN'!F16</f>
        <v>0</v>
      </c>
      <c r="G544" s="14" t="s">
        <v>217</v>
      </c>
      <c r="H544" s="0" t="n">
        <f aca="false">'02 SIZE_RUN'!G16</f>
        <v>0</v>
      </c>
    </row>
    <row r="545" customFormat="false" ht="18" hidden="false" customHeight="true" outlineLevel="0" collapsed="false">
      <c r="A545" s="14" t="s">
        <v>218</v>
      </c>
      <c r="B545" s="0" t="n">
        <f aca="false">'02 SIZE_RUN'!H16</f>
        <v>0</v>
      </c>
      <c r="C545" s="14" t="s">
        <v>219</v>
      </c>
      <c r="D545" s="0" t="n">
        <f aca="false">'02 SIZE_RUN'!I16</f>
        <v>5</v>
      </c>
      <c r="E545" s="14" t="s">
        <v>220</v>
      </c>
      <c r="F545" s="0" t="n">
        <f aca="false">'02 SIZE_RUN'!J16</f>
        <v>10</v>
      </c>
      <c r="G545" s="14" t="s">
        <v>221</v>
      </c>
      <c r="H545" s="0" t="n">
        <f aca="false">'02 SIZE_RUN'!K16</f>
        <v>25</v>
      </c>
    </row>
    <row r="546" customFormat="false" ht="18" hidden="false" customHeight="true" outlineLevel="0" collapsed="false">
      <c r="A546" s="14" t="s">
        <v>222</v>
      </c>
      <c r="B546" s="0" t="n">
        <f aca="false">'02 SIZE_RUN'!L16</f>
        <v>5</v>
      </c>
      <c r="C546" s="14" t="s">
        <v>223</v>
      </c>
      <c r="D546" s="0" t="n">
        <f aca="false">'02 SIZE_RUN'!M16</f>
        <v>35</v>
      </c>
      <c r="E546" s="14" t="s">
        <v>224</v>
      </c>
      <c r="F546" s="0" t="n">
        <f aca="false">'02 SIZE_RUN'!N16</f>
        <v>55</v>
      </c>
      <c r="G546" s="14" t="s">
        <v>225</v>
      </c>
      <c r="H546" s="0" t="n">
        <f aca="false">'02 SIZE_RUN'!O16</f>
        <v>5</v>
      </c>
    </row>
    <row r="547" customFormat="false" ht="18" hidden="false" customHeight="true" outlineLevel="0" collapsed="false">
      <c r="A547" s="14" t="s">
        <v>226</v>
      </c>
      <c r="B547" s="0" t="n">
        <f aca="false">'02 SIZE_RUN'!P16</f>
        <v>65</v>
      </c>
      <c r="C547" s="14" t="s">
        <v>227</v>
      </c>
      <c r="D547" s="0" t="n">
        <f aca="false">'02 SIZE_RUN'!Q16</f>
        <v>45</v>
      </c>
      <c r="E547" s="14" t="s">
        <v>228</v>
      </c>
      <c r="F547" s="0" t="n">
        <f aca="false">'02 SIZE_RUN'!R16</f>
        <v>10</v>
      </c>
      <c r="G547" s="14" t="s">
        <v>229</v>
      </c>
      <c r="H547" s="0" t="n">
        <f aca="false">'02 SIZE_RUN'!S16</f>
        <v>30</v>
      </c>
    </row>
    <row r="548" customFormat="false" ht="18" hidden="false" customHeight="true" outlineLevel="0" collapsed="false">
      <c r="A548" s="14" t="s">
        <v>230</v>
      </c>
      <c r="B548" s="0" t="n">
        <f aca="false">'02 SIZE_RUN'!T16</f>
        <v>25</v>
      </c>
      <c r="C548" s="14" t="s">
        <v>231</v>
      </c>
      <c r="D548" s="0" t="n">
        <f aca="false">'02 SIZE_RUN'!U16</f>
        <v>0</v>
      </c>
      <c r="E548" s="14" t="s">
        <v>232</v>
      </c>
      <c r="F548" s="0" t="n">
        <f aca="false">'02 SIZE_RUN'!V16</f>
        <v>10</v>
      </c>
      <c r="G548" s="14" t="s">
        <v>233</v>
      </c>
      <c r="H548" s="0" t="n">
        <f aca="false">'02 SIZE_RUN'!W16</f>
        <v>0</v>
      </c>
    </row>
    <row r="549" customFormat="false" ht="18" hidden="false" customHeight="true" outlineLevel="0" collapsed="false">
      <c r="A549" s="14" t="s">
        <v>234</v>
      </c>
      <c r="B549" s="0" t="n">
        <f aca="false">'02 SIZE_RUN'!X16</f>
        <v>0</v>
      </c>
      <c r="C549" s="14" t="s">
        <v>235</v>
      </c>
      <c r="D549" s="0" t="n">
        <f aca="false">'02 SIZE_RUN'!Y16</f>
        <v>0</v>
      </c>
      <c r="E549" s="14" t="s">
        <v>236</v>
      </c>
      <c r="F549" s="0" t="n">
        <f aca="false">'02 SIZE_RUN'!Z16</f>
        <v>0</v>
      </c>
      <c r="G549" s="14" t="s">
        <v>237</v>
      </c>
      <c r="H549" s="0" t="n">
        <f aca="false">'02 SIZE_RUN'!AA16</f>
        <v>0</v>
      </c>
    </row>
    <row r="550" customFormat="false" ht="18" hidden="false" customHeight="true" outlineLevel="0" collapsed="false">
      <c r="A550" s="14" t="s">
        <v>238</v>
      </c>
      <c r="B550" s="0" t="n">
        <f aca="false">'02 SIZE_RUN'!AB16</f>
        <v>0</v>
      </c>
      <c r="C550" s="14" t="s">
        <v>239</v>
      </c>
      <c r="D550" s="0" t="n">
        <f aca="false">'02 SIZE_RUN'!AC16</f>
        <v>0</v>
      </c>
      <c r="E550" s="14" t="s">
        <v>240</v>
      </c>
      <c r="F550" s="0" t="n">
        <f aca="false">'02 SIZE_RUN'!AD16</f>
        <v>0</v>
      </c>
      <c r="G550" s="14" t="s">
        <v>241</v>
      </c>
      <c r="H550" s="0" t="n">
        <f aca="false">'02 SIZE_RUN'!AE16</f>
        <v>0</v>
      </c>
    </row>
    <row r="551" customFormat="false" ht="18" hidden="false" customHeight="true" outlineLevel="0" collapsed="false">
      <c r="A551" s="14" t="s">
        <v>242</v>
      </c>
      <c r="B551" s="0" t="n">
        <f aca="false">'02 SIZE_RUN'!AF16</f>
        <v>0</v>
      </c>
    </row>
    <row r="552" customFormat="false" ht="18" hidden="false" customHeight="true" outlineLevel="0" collapsed="false">
      <c r="A552" s="10" t="str">
        <f aca="false">"TOTAL SIZE: "&amp;'02 SIZE_RUN'!AG16&amp;" | SELISIH: "&amp;'02 SIZE_RUN'!AH16</f>
        <v>TOTAL SIZE: 325 | SELISIH: 0</v>
      </c>
      <c r="B552" s="10"/>
      <c r="C552" s="10"/>
      <c r="D552" s="10"/>
      <c r="E552" s="10"/>
      <c r="F552" s="10"/>
      <c r="G552" s="10"/>
      <c r="H552" s="10"/>
    </row>
    <row r="553" customFormat="false" ht="18" hidden="false" customHeight="true" outlineLevel="0" collapsed="false">
      <c r="A553" s="10" t="s">
        <v>255</v>
      </c>
      <c r="B553" s="10"/>
      <c r="C553" s="10"/>
      <c r="D553" s="13" t="str">
        <f aca="false">IF('01 ADMIN_ORDER'!P16="","BELUM DITETAPKAN",TEXT('01 ADMIN_ORDER'!P16,"dd mmm yyyy"))</f>
        <v>BELUM DITETAPKAN</v>
      </c>
      <c r="E553" s="13"/>
      <c r="F553" s="13"/>
      <c r="G553" s="13"/>
      <c r="H553" s="13"/>
    </row>
    <row r="554" customFormat="false" ht="18" hidden="false" customHeight="true" outlineLevel="0" collapsed="false">
      <c r="A554" s="10" t="s">
        <v>256</v>
      </c>
      <c r="B554" s="10"/>
      <c r="C554" s="10"/>
      <c r="D554" s="13" t="str">
        <f aca="false">IF('01 ADMIN_ORDER'!Q16="","BELUM DITETAPKAN",TEXT('01 ADMIN_ORDER'!Q16,"dd mmm yyyy"))</f>
        <v>BELUM DITETAPKAN</v>
      </c>
      <c r="E554" s="13"/>
      <c r="F554" s="13"/>
      <c r="G554" s="13"/>
      <c r="H554" s="13"/>
    </row>
    <row r="555" customFormat="false" ht="25.5" hidden="false" customHeight="true" outlineLevel="0" collapsed="false">
      <c r="A555" s="12" t="str">
        <f aca="false">"REFERENSI ASSEMBLY (bukan target upper): "&amp;TEXT('01 ADMIN_ORDER'!M16,"dd mmm yyyy")&amp;" - "&amp;TEXT('01 ADMIN_ORDER'!N16,"dd mmm yyyy")</f>
        <v>REFERENSI ASSEMBLY (bukan target upper): 13 Oct 2026 - 14 Oct 2026</v>
      </c>
      <c r="B555" s="12"/>
      <c r="C555" s="12"/>
      <c r="D555" s="12"/>
      <c r="E555" s="12"/>
      <c r="F555" s="12"/>
      <c r="G555" s="12"/>
      <c r="H555" s="12"/>
    </row>
    <row r="556" customFormat="false" ht="18" hidden="false" customHeight="true" outlineLevel="0" collapsed="false">
      <c r="A556" s="10" t="s">
        <v>257</v>
      </c>
      <c r="B556" s="10"/>
      <c r="C556" s="10"/>
      <c r="D556" s="13" t="str">
        <f aca="false">IF('04 KESIAPAN'!G16="","BELUM DIISI",'04 KESIAPAN'!G16)</f>
        <v>BELUM DIISI</v>
      </c>
      <c r="E556" s="13"/>
      <c r="F556" s="13"/>
      <c r="G556" s="13"/>
      <c r="H556" s="13"/>
    </row>
    <row r="557" customFormat="false" ht="18" hidden="false" customHeight="true" outlineLevel="0" collapsed="false">
      <c r="A557" s="10" t="s">
        <v>258</v>
      </c>
      <c r="B557" s="10"/>
      <c r="C557" s="10"/>
      <c r="D557" s="13" t="str">
        <f aca="false">IF('04 KESIAPAN'!H16="","BELUM DIISI",'04 KESIAPAN'!H16)</f>
        <v>BELUM DIISI</v>
      </c>
      <c r="E557" s="13"/>
      <c r="F557" s="13"/>
      <c r="G557" s="13"/>
      <c r="H557" s="13"/>
    </row>
    <row r="558" customFormat="false" ht="18" hidden="false" customHeight="true" outlineLevel="0" collapsed="false">
      <c r="A558" s="10" t="s">
        <v>259</v>
      </c>
      <c r="B558" s="10"/>
      <c r="C558" s="10"/>
      <c r="D558" s="13" t="str">
        <f aca="false">IF('04 KESIAPAN'!I16="","BELUM DIISI",'04 KESIAPAN'!I16)</f>
        <v>BELUM DIISI</v>
      </c>
      <c r="E558" s="13"/>
      <c r="F558" s="13"/>
      <c r="G558" s="13"/>
      <c r="H558" s="13"/>
    </row>
    <row r="559" customFormat="false" ht="18" hidden="false" customHeight="true" outlineLevel="0" collapsed="false">
      <c r="A559" s="10" t="s">
        <v>260</v>
      </c>
      <c r="B559" s="10"/>
      <c r="C559" s="10"/>
      <c r="D559" s="13" t="str">
        <f aca="false">IF('04 KESIAPAN'!K16="","BELUM DIISI",'04 KESIAPAN'!K16)</f>
        <v>BELUM DIISI</v>
      </c>
      <c r="E559" s="13"/>
      <c r="F559" s="13"/>
      <c r="G559" s="13"/>
      <c r="H559" s="13"/>
    </row>
    <row r="560" customFormat="false" ht="18" hidden="false" customHeight="true" outlineLevel="0" collapsed="false">
      <c r="A560" s="10" t="s">
        <v>261</v>
      </c>
      <c r="B560" s="10"/>
      <c r="C560" s="10"/>
      <c r="D560" s="13" t="str">
        <f aca="false">IF('04 KESIAPAN'!L16="","BELUM DIISI",'04 KESIAPAN'!L16)</f>
        <v>BELUM DIISI</v>
      </c>
      <c r="E560" s="13"/>
      <c r="F560" s="13"/>
      <c r="G560" s="13"/>
      <c r="H560" s="13"/>
    </row>
    <row r="561" customFormat="false" ht="18" hidden="false" customHeight="true" outlineLevel="0" collapsed="false">
      <c r="A561" s="10" t="s">
        <v>262</v>
      </c>
      <c r="B561" s="10"/>
      <c r="C561" s="10"/>
      <c r="D561" s="13" t="str">
        <f aca="false">IF('04 KESIAPAN'!N16="","BELUM DIISI",'04 KESIAPAN'!N16)</f>
        <v>BELUM DIISI</v>
      </c>
      <c r="E561" s="13"/>
      <c r="F561" s="13"/>
      <c r="G561" s="13"/>
      <c r="H561" s="13"/>
    </row>
    <row r="562" customFormat="false" ht="18" hidden="false" customHeight="true" outlineLevel="0" collapsed="false">
      <c r="A562" s="10" t="s">
        <v>263</v>
      </c>
      <c r="B562" s="10"/>
      <c r="C562" s="10"/>
      <c r="D562" s="13" t="str">
        <f aca="false">IF('04 KESIAPAN'!P16="","BELUM DIISI",'04 KESIAPAN'!P16)</f>
        <v>BELUM DIISI</v>
      </c>
      <c r="E562" s="13"/>
      <c r="F562" s="13"/>
      <c r="G562" s="13"/>
      <c r="H562" s="13"/>
    </row>
    <row r="563" customFormat="false" ht="18" hidden="false" customHeight="true" outlineLevel="0" collapsed="false">
      <c r="A563" s="7" t="s">
        <v>264</v>
      </c>
      <c r="B563" s="7"/>
      <c r="C563" s="7"/>
      <c r="D563" s="7"/>
      <c r="E563" s="7"/>
      <c r="F563" s="7"/>
      <c r="G563" s="7"/>
      <c r="H563" s="7"/>
    </row>
    <row r="564" customFormat="false" ht="18" hidden="false" customHeight="true" outlineLevel="0" collapsed="false">
      <c r="A564" s="13"/>
      <c r="B564" s="13"/>
      <c r="C564" s="13"/>
      <c r="D564" s="13"/>
      <c r="E564" s="13"/>
      <c r="F564" s="13"/>
      <c r="G564" s="13"/>
      <c r="H564" s="13"/>
    </row>
    <row r="565" customFormat="false" ht="18" hidden="false" customHeight="true" outlineLevel="0" collapsed="false">
      <c r="A565" s="13"/>
      <c r="B565" s="13"/>
      <c r="C565" s="13"/>
      <c r="D565" s="13"/>
      <c r="E565" s="13"/>
      <c r="F565" s="13"/>
      <c r="G565" s="13"/>
      <c r="H565" s="13"/>
    </row>
    <row r="566" customFormat="false" ht="18" hidden="false" customHeight="true" outlineLevel="0" collapsed="false">
      <c r="A566" s="13"/>
      <c r="B566" s="13"/>
      <c r="C566" s="13"/>
      <c r="D566" s="13"/>
      <c r="E566" s="13"/>
      <c r="F566" s="13"/>
      <c r="G566" s="13"/>
      <c r="H566" s="13"/>
    </row>
    <row r="567" customFormat="false" ht="18" hidden="false" customHeight="true" outlineLevel="0" collapsed="false">
      <c r="A567" s="12" t="s">
        <v>265</v>
      </c>
      <c r="B567" s="12"/>
      <c r="C567" s="12"/>
      <c r="D567" s="12"/>
      <c r="E567" s="12" t="s">
        <v>266</v>
      </c>
      <c r="F567" s="12"/>
      <c r="G567" s="12"/>
      <c r="H567" s="12"/>
    </row>
    <row r="568" customFormat="false" ht="18" hidden="false" customHeight="true" outlineLevel="0" collapsed="false">
      <c r="A568" s="12" t="s">
        <v>281</v>
      </c>
      <c r="B568" s="12"/>
      <c r="C568" s="12"/>
      <c r="D568" s="12"/>
      <c r="E568" s="12"/>
      <c r="F568" s="12"/>
      <c r="G568" s="12"/>
      <c r="H568" s="12"/>
    </row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25.5" hidden="false" customHeight="true" outlineLevel="0" collapsed="false">
      <c r="A571" s="7" t="s">
        <v>246</v>
      </c>
      <c r="B571" s="7"/>
      <c r="C571" s="7"/>
      <c r="D571" s="7"/>
      <c r="E571" s="7"/>
      <c r="F571" s="7"/>
      <c r="G571" s="7"/>
      <c r="H571" s="7"/>
    </row>
    <row r="572" customFormat="false" ht="18" hidden="false" customHeight="true" outlineLevel="0" collapsed="false">
      <c r="A572" s="8" t="str">
        <f aca="false">'01 ADMIN_ORDER'!R17</f>
        <v>DRAFT - PERLU VERIFIKASI</v>
      </c>
      <c r="B572" s="8"/>
      <c r="C572" s="8"/>
      <c r="D572" s="8"/>
      <c r="E572" s="8"/>
      <c r="F572" s="8"/>
      <c r="G572" s="8"/>
      <c r="H572" s="8"/>
    </row>
    <row r="573" customFormat="false" ht="18" hidden="false" customHeight="true" outlineLevel="0" collapsed="false">
      <c r="A573" s="9" t="s">
        <v>247</v>
      </c>
      <c r="B573" s="9"/>
      <c r="C573" s="9"/>
      <c r="D573" s="9"/>
      <c r="E573" s="9"/>
      <c r="F573" s="9"/>
      <c r="G573" s="9"/>
      <c r="H573" s="9"/>
    </row>
    <row r="574" customFormat="false" ht="18" hidden="false" customHeight="true" outlineLevel="0" collapsed="false">
      <c r="A574" s="10" t="s">
        <v>248</v>
      </c>
      <c r="B574" s="10"/>
      <c r="C574" s="11" t="str">
        <f aca="false">'01 ADMIN_ORDER'!A17</f>
        <v>152/10/16 (59)</v>
      </c>
      <c r="D574" s="11"/>
      <c r="E574" s="11"/>
      <c r="F574" s="11"/>
      <c r="G574" s="11"/>
      <c r="H574" s="11"/>
    </row>
    <row r="575" customFormat="false" ht="18" hidden="false" customHeight="true" outlineLevel="0" collapsed="false">
      <c r="A575" s="10" t="s">
        <v>249</v>
      </c>
      <c r="B575" s="10"/>
      <c r="C575" s="12" t="str">
        <f aca="false">'01 ADMIN_ORDER'!C17&amp;" / "&amp;'01 ADMIN_ORDER'!D17</f>
        <v>FRONTCOURT LOW / LA6617</v>
      </c>
      <c r="D575" s="12"/>
      <c r="E575" s="12"/>
      <c r="F575" s="12"/>
      <c r="G575" s="12"/>
      <c r="H575" s="12"/>
    </row>
    <row r="576" customFormat="false" ht="18" hidden="false" customHeight="true" outlineLevel="0" collapsed="false">
      <c r="A576" s="10" t="s">
        <v>250</v>
      </c>
      <c r="B576" s="10"/>
      <c r="C576" s="12" t="str">
        <f aca="false">'01 ADMIN_ORDER'!E17</f>
        <v>903417796</v>
      </c>
      <c r="D576" s="12"/>
      <c r="E576" s="12"/>
      <c r="F576" s="12"/>
      <c r="G576" s="12"/>
      <c r="H576" s="12"/>
    </row>
    <row r="577" customFormat="false" ht="27.75" hidden="false" customHeight="true" outlineLevel="0" collapsed="false">
      <c r="A577" s="10" t="s">
        <v>251</v>
      </c>
      <c r="B577" s="10"/>
      <c r="C577" s="12" t="str">
        <f aca="false">'01 ADMIN_ORDER'!H17</f>
        <v>OLIVE TWO/OFF WHITE/OLIVE THREE</v>
      </c>
      <c r="D577" s="12"/>
      <c r="E577" s="12"/>
      <c r="F577" s="12"/>
      <c r="G577" s="12"/>
      <c r="H577" s="12"/>
    </row>
    <row r="578" customFormat="false" ht="18" hidden="false" customHeight="true" outlineLevel="0" collapsed="false">
      <c r="A578" s="10" t="s">
        <v>252</v>
      </c>
      <c r="B578" s="10"/>
      <c r="C578" s="12" t="str">
        <f aca="false">'01 ADMIN_ORDER'!B17&amp;" / "&amp;'01 ADMIN_ORDER'!G17</f>
        <v>A-19 / Germany (Zalando)</v>
      </c>
      <c r="D578" s="12"/>
      <c r="E578" s="12"/>
      <c r="F578" s="12"/>
      <c r="G578" s="12"/>
      <c r="H578" s="12"/>
    </row>
    <row r="579" customFormat="false" ht="18" hidden="false" customHeight="true" outlineLevel="0" collapsed="false">
      <c r="A579" s="10" t="s">
        <v>253</v>
      </c>
      <c r="B579" s="10"/>
      <c r="C579" s="13" t="str">
        <f aca="false">'01 ADMIN_ORDER'!I17&amp;" / "&amp;IF('04 KESIAPAN'!B17="","UOM BELUM DIISI",'04 KESIAPAN'!B17)</f>
        <v>353 / UOM BELUM DIISI</v>
      </c>
      <c r="D579" s="13"/>
      <c r="E579" s="13"/>
      <c r="F579" s="13"/>
      <c r="G579" s="13"/>
      <c r="H579" s="13"/>
    </row>
    <row r="580" customFormat="false" ht="18" hidden="false" customHeight="true" outlineLevel="0" collapsed="false">
      <c r="A580" s="13" t="str">
        <f aca="false">IF('04 KESIAPAN'!C17="","SISTEM UKURAN BELUM DIISI",'04 KESIAPAN'!C17)&amp;" | Tanda -: "&amp;IF('04 KESIAPAN'!D17="","BELUM DIKONFIRMASI",'04 KESIAPAN'!D17)</f>
        <v>SISTEM UKURAN BELUM DIISI | Tanda -: BELUM DIKONFIRMASI</v>
      </c>
      <c r="B580" s="13"/>
      <c r="C580" s="13"/>
      <c r="D580" s="13"/>
      <c r="E580" s="13"/>
      <c r="F580" s="13"/>
      <c r="G580" s="13"/>
      <c r="H580" s="13"/>
    </row>
    <row r="581" customFormat="false" ht="18" hidden="false" customHeight="true" outlineLevel="0" collapsed="false">
      <c r="A581" s="7" t="s">
        <v>254</v>
      </c>
      <c r="B581" s="7"/>
      <c r="C581" s="7"/>
      <c r="D581" s="7"/>
      <c r="E581" s="7"/>
      <c r="F581" s="7"/>
      <c r="G581" s="7"/>
      <c r="H581" s="7"/>
    </row>
    <row r="582" customFormat="false" ht="18" hidden="false" customHeight="true" outlineLevel="0" collapsed="false">
      <c r="A582" s="14" t="s">
        <v>214</v>
      </c>
      <c r="B582" s="0" t="n">
        <f aca="false">'02 SIZE_RUN'!D17</f>
        <v>2</v>
      </c>
      <c r="C582" s="14" t="s">
        <v>215</v>
      </c>
      <c r="D582" s="0" t="n">
        <f aca="false">'02 SIZE_RUN'!E17</f>
        <v>6</v>
      </c>
      <c r="E582" s="14" t="s">
        <v>216</v>
      </c>
      <c r="F582" s="0" t="n">
        <f aca="false">'02 SIZE_RUN'!F17</f>
        <v>12</v>
      </c>
      <c r="G582" s="14" t="s">
        <v>217</v>
      </c>
      <c r="H582" s="0" t="n">
        <f aca="false">'02 SIZE_RUN'!G17</f>
        <v>0</v>
      </c>
    </row>
    <row r="583" customFormat="false" ht="18" hidden="false" customHeight="true" outlineLevel="0" collapsed="false">
      <c r="A583" s="14" t="s">
        <v>218</v>
      </c>
      <c r="B583" s="0" t="n">
        <f aca="false">'02 SIZE_RUN'!H17</f>
        <v>0</v>
      </c>
      <c r="C583" s="14" t="s">
        <v>219</v>
      </c>
      <c r="D583" s="0" t="n">
        <f aca="false">'02 SIZE_RUN'!I17</f>
        <v>0</v>
      </c>
      <c r="E583" s="14" t="s">
        <v>220</v>
      </c>
      <c r="F583" s="0" t="n">
        <f aca="false">'02 SIZE_RUN'!J17</f>
        <v>5</v>
      </c>
      <c r="G583" s="14" t="s">
        <v>221</v>
      </c>
      <c r="H583" s="0" t="n">
        <f aca="false">'02 SIZE_RUN'!K17</f>
        <v>0</v>
      </c>
    </row>
    <row r="584" customFormat="false" ht="18" hidden="false" customHeight="true" outlineLevel="0" collapsed="false">
      <c r="A584" s="14" t="s">
        <v>222</v>
      </c>
      <c r="B584" s="0" t="n">
        <f aca="false">'02 SIZE_RUN'!L17</f>
        <v>6</v>
      </c>
      <c r="C584" s="14" t="s">
        <v>223</v>
      </c>
      <c r="D584" s="0" t="n">
        <f aca="false">'02 SIZE_RUN'!M17</f>
        <v>15</v>
      </c>
      <c r="E584" s="14" t="s">
        <v>224</v>
      </c>
      <c r="F584" s="0" t="n">
        <f aca="false">'02 SIZE_RUN'!N17</f>
        <v>50</v>
      </c>
      <c r="G584" s="14" t="s">
        <v>225</v>
      </c>
      <c r="H584" s="0" t="n">
        <f aca="false">'02 SIZE_RUN'!O17</f>
        <v>38</v>
      </c>
    </row>
    <row r="585" customFormat="false" ht="18" hidden="false" customHeight="true" outlineLevel="0" collapsed="false">
      <c r="A585" s="14" t="s">
        <v>226</v>
      </c>
      <c r="B585" s="0" t="n">
        <f aca="false">'02 SIZE_RUN'!P17</f>
        <v>42</v>
      </c>
      <c r="C585" s="14" t="s">
        <v>227</v>
      </c>
      <c r="D585" s="0" t="n">
        <f aca="false">'02 SIZE_RUN'!Q17</f>
        <v>41</v>
      </c>
      <c r="E585" s="14" t="s">
        <v>228</v>
      </c>
      <c r="F585" s="0" t="n">
        <f aca="false">'02 SIZE_RUN'!R17</f>
        <v>38</v>
      </c>
      <c r="G585" s="14" t="s">
        <v>229</v>
      </c>
      <c r="H585" s="0" t="n">
        <f aca="false">'02 SIZE_RUN'!S17</f>
        <v>25</v>
      </c>
    </row>
    <row r="586" customFormat="false" ht="18" hidden="false" customHeight="true" outlineLevel="0" collapsed="false">
      <c r="A586" s="14" t="s">
        <v>230</v>
      </c>
      <c r="B586" s="0" t="n">
        <f aca="false">'02 SIZE_RUN'!T17</f>
        <v>18</v>
      </c>
      <c r="C586" s="14" t="s">
        <v>231</v>
      </c>
      <c r="D586" s="0" t="n">
        <f aca="false">'02 SIZE_RUN'!U17</f>
        <v>19</v>
      </c>
      <c r="E586" s="14" t="s">
        <v>232</v>
      </c>
      <c r="F586" s="0" t="n">
        <f aca="false">'02 SIZE_RUN'!V17</f>
        <v>26</v>
      </c>
      <c r="G586" s="14" t="s">
        <v>233</v>
      </c>
      <c r="H586" s="0" t="n">
        <f aca="false">'02 SIZE_RUN'!W17</f>
        <v>6</v>
      </c>
    </row>
    <row r="587" customFormat="false" ht="18" hidden="false" customHeight="true" outlineLevel="0" collapsed="false">
      <c r="A587" s="14" t="s">
        <v>234</v>
      </c>
      <c r="B587" s="0" t="n">
        <f aca="false">'02 SIZE_RUN'!X17</f>
        <v>0</v>
      </c>
      <c r="C587" s="14" t="s">
        <v>235</v>
      </c>
      <c r="D587" s="0" t="n">
        <f aca="false">'02 SIZE_RUN'!Y17</f>
        <v>4</v>
      </c>
      <c r="E587" s="14" t="s">
        <v>236</v>
      </c>
      <c r="F587" s="0" t="n">
        <f aca="false">'02 SIZE_RUN'!Z17</f>
        <v>0</v>
      </c>
      <c r="G587" s="14" t="s">
        <v>237</v>
      </c>
      <c r="H587" s="0" t="n">
        <f aca="false">'02 SIZE_RUN'!AA17</f>
        <v>0</v>
      </c>
    </row>
    <row r="588" customFormat="false" ht="18" hidden="false" customHeight="true" outlineLevel="0" collapsed="false">
      <c r="A588" s="14" t="s">
        <v>238</v>
      </c>
      <c r="B588" s="0" t="n">
        <f aca="false">'02 SIZE_RUN'!AB17</f>
        <v>0</v>
      </c>
      <c r="C588" s="14" t="s">
        <v>239</v>
      </c>
      <c r="D588" s="0" t="n">
        <f aca="false">'02 SIZE_RUN'!AC17</f>
        <v>0</v>
      </c>
      <c r="E588" s="14" t="s">
        <v>240</v>
      </c>
      <c r="F588" s="0" t="n">
        <f aca="false">'02 SIZE_RUN'!AD17</f>
        <v>0</v>
      </c>
      <c r="G588" s="14" t="s">
        <v>241</v>
      </c>
      <c r="H588" s="0" t="n">
        <f aca="false">'02 SIZE_RUN'!AE17</f>
        <v>0</v>
      </c>
    </row>
    <row r="589" customFormat="false" ht="18" hidden="false" customHeight="true" outlineLevel="0" collapsed="false">
      <c r="A589" s="14" t="s">
        <v>242</v>
      </c>
      <c r="B589" s="0" t="n">
        <f aca="false">'02 SIZE_RUN'!AF17</f>
        <v>0</v>
      </c>
    </row>
    <row r="590" customFormat="false" ht="18" hidden="false" customHeight="true" outlineLevel="0" collapsed="false">
      <c r="A590" s="10" t="str">
        <f aca="false">"TOTAL SIZE: "&amp;'02 SIZE_RUN'!AG17&amp;" | SELISIH: "&amp;'02 SIZE_RUN'!AH17</f>
        <v>TOTAL SIZE: 353 | SELISIH: 0</v>
      </c>
      <c r="B590" s="10"/>
      <c r="C590" s="10"/>
      <c r="D590" s="10"/>
      <c r="E590" s="10"/>
      <c r="F590" s="10"/>
      <c r="G590" s="10"/>
      <c r="H590" s="10"/>
    </row>
    <row r="591" customFormat="false" ht="18" hidden="false" customHeight="true" outlineLevel="0" collapsed="false">
      <c r="A591" s="10" t="s">
        <v>255</v>
      </c>
      <c r="B591" s="10"/>
      <c r="C591" s="10"/>
      <c r="D591" s="13" t="str">
        <f aca="false">IF('01 ADMIN_ORDER'!P17="","BELUM DITETAPKAN",TEXT('01 ADMIN_ORDER'!P17,"dd mmm yyyy"))</f>
        <v>BELUM DITETAPKAN</v>
      </c>
      <c r="E591" s="13"/>
      <c r="F591" s="13"/>
      <c r="G591" s="13"/>
      <c r="H591" s="13"/>
    </row>
    <row r="592" customFormat="false" ht="18" hidden="false" customHeight="true" outlineLevel="0" collapsed="false">
      <c r="A592" s="10" t="s">
        <v>256</v>
      </c>
      <c r="B592" s="10"/>
      <c r="C592" s="10"/>
      <c r="D592" s="13" t="str">
        <f aca="false">IF('01 ADMIN_ORDER'!Q17="","BELUM DITETAPKAN",TEXT('01 ADMIN_ORDER'!Q17,"dd mmm yyyy"))</f>
        <v>BELUM DITETAPKAN</v>
      </c>
      <c r="E592" s="13"/>
      <c r="F592" s="13"/>
      <c r="G592" s="13"/>
      <c r="H592" s="13"/>
    </row>
    <row r="593" customFormat="false" ht="25.5" hidden="false" customHeight="true" outlineLevel="0" collapsed="false">
      <c r="A593" s="12" t="str">
        <f aca="false">"REFERENSI ASSEMBLY (bukan target upper): "&amp;TEXT('01 ADMIN_ORDER'!M17,"dd mmm yyyy")&amp;" - "&amp;TEXT('01 ADMIN_ORDER'!N17,"dd mmm yyyy")</f>
        <v>REFERENSI ASSEMBLY (bukan target upper): 14 Oct 2026 - 14 Oct 2026</v>
      </c>
      <c r="B593" s="12"/>
      <c r="C593" s="12"/>
      <c r="D593" s="12"/>
      <c r="E593" s="12"/>
      <c r="F593" s="12"/>
      <c r="G593" s="12"/>
      <c r="H593" s="12"/>
    </row>
    <row r="594" customFormat="false" ht="18" hidden="false" customHeight="true" outlineLevel="0" collapsed="false">
      <c r="A594" s="10" t="s">
        <v>257</v>
      </c>
      <c r="B594" s="10"/>
      <c r="C594" s="10"/>
      <c r="D594" s="13" t="str">
        <f aca="false">IF('04 KESIAPAN'!G17="","BELUM DIISI",'04 KESIAPAN'!G17)</f>
        <v>BELUM DIISI</v>
      </c>
      <c r="E594" s="13"/>
      <c r="F594" s="13"/>
      <c r="G594" s="13"/>
      <c r="H594" s="13"/>
    </row>
    <row r="595" customFormat="false" ht="18" hidden="false" customHeight="true" outlineLevel="0" collapsed="false">
      <c r="A595" s="10" t="s">
        <v>258</v>
      </c>
      <c r="B595" s="10"/>
      <c r="C595" s="10"/>
      <c r="D595" s="13" t="str">
        <f aca="false">IF('04 KESIAPAN'!H17="","BELUM DIISI",'04 KESIAPAN'!H17)</f>
        <v>BELUM DIISI</v>
      </c>
      <c r="E595" s="13"/>
      <c r="F595" s="13"/>
      <c r="G595" s="13"/>
      <c r="H595" s="13"/>
    </row>
    <row r="596" customFormat="false" ht="18" hidden="false" customHeight="true" outlineLevel="0" collapsed="false">
      <c r="A596" s="10" t="s">
        <v>259</v>
      </c>
      <c r="B596" s="10"/>
      <c r="C596" s="10"/>
      <c r="D596" s="13" t="str">
        <f aca="false">IF('04 KESIAPAN'!I17="","BELUM DIISI",'04 KESIAPAN'!I17)</f>
        <v>BELUM DIISI</v>
      </c>
      <c r="E596" s="13"/>
      <c r="F596" s="13"/>
      <c r="G596" s="13"/>
      <c r="H596" s="13"/>
    </row>
    <row r="597" customFormat="false" ht="18" hidden="false" customHeight="true" outlineLevel="0" collapsed="false">
      <c r="A597" s="10" t="s">
        <v>260</v>
      </c>
      <c r="B597" s="10"/>
      <c r="C597" s="10"/>
      <c r="D597" s="13" t="str">
        <f aca="false">IF('04 KESIAPAN'!K17="","BELUM DIISI",'04 KESIAPAN'!K17)</f>
        <v>BELUM DIISI</v>
      </c>
      <c r="E597" s="13"/>
      <c r="F597" s="13"/>
      <c r="G597" s="13"/>
      <c r="H597" s="13"/>
    </row>
    <row r="598" customFormat="false" ht="18" hidden="false" customHeight="true" outlineLevel="0" collapsed="false">
      <c r="A598" s="10" t="s">
        <v>261</v>
      </c>
      <c r="B598" s="10"/>
      <c r="C598" s="10"/>
      <c r="D598" s="13" t="str">
        <f aca="false">IF('04 KESIAPAN'!L17="","BELUM DIISI",'04 KESIAPAN'!L17)</f>
        <v>BELUM DIISI</v>
      </c>
      <c r="E598" s="13"/>
      <c r="F598" s="13"/>
      <c r="G598" s="13"/>
      <c r="H598" s="13"/>
    </row>
    <row r="599" customFormat="false" ht="18" hidden="false" customHeight="true" outlineLevel="0" collapsed="false">
      <c r="A599" s="10" t="s">
        <v>262</v>
      </c>
      <c r="B599" s="10"/>
      <c r="C599" s="10"/>
      <c r="D599" s="13" t="str">
        <f aca="false">IF('04 KESIAPAN'!N17="","BELUM DIISI",'04 KESIAPAN'!N17)</f>
        <v>BELUM DIISI</v>
      </c>
      <c r="E599" s="13"/>
      <c r="F599" s="13"/>
      <c r="G599" s="13"/>
      <c r="H599" s="13"/>
    </row>
    <row r="600" customFormat="false" ht="18" hidden="false" customHeight="true" outlineLevel="0" collapsed="false">
      <c r="A600" s="10" t="s">
        <v>263</v>
      </c>
      <c r="B600" s="10"/>
      <c r="C600" s="10"/>
      <c r="D600" s="13" t="str">
        <f aca="false">IF('04 KESIAPAN'!P17="","BELUM DIISI",'04 KESIAPAN'!P17)</f>
        <v>BELUM DIISI</v>
      </c>
      <c r="E600" s="13"/>
      <c r="F600" s="13"/>
      <c r="G600" s="13"/>
      <c r="H600" s="13"/>
    </row>
    <row r="601" customFormat="false" ht="18" hidden="false" customHeight="true" outlineLevel="0" collapsed="false">
      <c r="A601" s="7" t="s">
        <v>264</v>
      </c>
      <c r="B601" s="7"/>
      <c r="C601" s="7"/>
      <c r="D601" s="7"/>
      <c r="E601" s="7"/>
      <c r="F601" s="7"/>
      <c r="G601" s="7"/>
      <c r="H601" s="7"/>
    </row>
    <row r="602" customFormat="false" ht="18" hidden="false" customHeight="true" outlineLevel="0" collapsed="false">
      <c r="A602" s="13"/>
      <c r="B602" s="13"/>
      <c r="C602" s="13"/>
      <c r="D602" s="13"/>
      <c r="E602" s="13"/>
      <c r="F602" s="13"/>
      <c r="G602" s="13"/>
      <c r="H602" s="13"/>
    </row>
    <row r="603" customFormat="false" ht="18" hidden="false" customHeight="true" outlineLevel="0" collapsed="false">
      <c r="A603" s="13"/>
      <c r="B603" s="13"/>
      <c r="C603" s="13"/>
      <c r="D603" s="13"/>
      <c r="E603" s="13"/>
      <c r="F603" s="13"/>
      <c r="G603" s="13"/>
      <c r="H603" s="13"/>
    </row>
    <row r="604" customFormat="false" ht="18" hidden="false" customHeight="true" outlineLevel="0" collapsed="false">
      <c r="A604" s="13"/>
      <c r="B604" s="13"/>
      <c r="C604" s="13"/>
      <c r="D604" s="13"/>
      <c r="E604" s="13"/>
      <c r="F604" s="13"/>
      <c r="G604" s="13"/>
      <c r="H604" s="13"/>
    </row>
    <row r="605" customFormat="false" ht="18" hidden="false" customHeight="true" outlineLevel="0" collapsed="false">
      <c r="A605" s="12" t="s">
        <v>265</v>
      </c>
      <c r="B605" s="12"/>
      <c r="C605" s="12"/>
      <c r="D605" s="12"/>
      <c r="E605" s="12" t="s">
        <v>266</v>
      </c>
      <c r="F605" s="12"/>
      <c r="G605" s="12"/>
      <c r="H605" s="12"/>
    </row>
    <row r="606" customFormat="false" ht="18" hidden="false" customHeight="true" outlineLevel="0" collapsed="false">
      <c r="A606" s="12" t="s">
        <v>282</v>
      </c>
      <c r="B606" s="12"/>
      <c r="C606" s="12"/>
      <c r="D606" s="12"/>
      <c r="E606" s="12"/>
      <c r="F606" s="12"/>
      <c r="G606" s="12"/>
      <c r="H606" s="12"/>
    </row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25.5" hidden="false" customHeight="true" outlineLevel="0" collapsed="false">
      <c r="A609" s="7" t="s">
        <v>246</v>
      </c>
      <c r="B609" s="7"/>
      <c r="C609" s="7"/>
      <c r="D609" s="7"/>
      <c r="E609" s="7"/>
      <c r="F609" s="7"/>
      <c r="G609" s="7"/>
      <c r="H609" s="7"/>
    </row>
    <row r="610" customFormat="false" ht="18" hidden="false" customHeight="true" outlineLevel="0" collapsed="false">
      <c r="A610" s="8" t="str">
        <f aca="false">'01 ADMIN_ORDER'!R18</f>
        <v>DRAFT - PERLU VERIFIKASI</v>
      </c>
      <c r="B610" s="8"/>
      <c r="C610" s="8"/>
      <c r="D610" s="8"/>
      <c r="E610" s="8"/>
      <c r="F610" s="8"/>
      <c r="G610" s="8"/>
      <c r="H610" s="8"/>
    </row>
    <row r="611" customFormat="false" ht="18" hidden="false" customHeight="true" outlineLevel="0" collapsed="false">
      <c r="A611" s="9" t="s">
        <v>247</v>
      </c>
      <c r="B611" s="9"/>
      <c r="C611" s="9"/>
      <c r="D611" s="9"/>
      <c r="E611" s="9"/>
      <c r="F611" s="9"/>
      <c r="G611" s="9"/>
      <c r="H611" s="9"/>
    </row>
    <row r="612" customFormat="false" ht="18" hidden="false" customHeight="true" outlineLevel="0" collapsed="false">
      <c r="A612" s="10" t="s">
        <v>248</v>
      </c>
      <c r="B612" s="10"/>
      <c r="C612" s="11" t="str">
        <f aca="false">'01 ADMIN_ORDER'!A18</f>
        <v>153/10/17 (59)</v>
      </c>
      <c r="D612" s="11"/>
      <c r="E612" s="11"/>
      <c r="F612" s="11"/>
      <c r="G612" s="11"/>
      <c r="H612" s="11"/>
    </row>
    <row r="613" customFormat="false" ht="18" hidden="false" customHeight="true" outlineLevel="0" collapsed="false">
      <c r="A613" s="10" t="s">
        <v>249</v>
      </c>
      <c r="B613" s="10"/>
      <c r="C613" s="12" t="str">
        <f aca="false">'01 ADMIN_ORDER'!C18&amp;" / "&amp;'01 ADMIN_ORDER'!D18</f>
        <v>FRONTCOURT LOW / LA6606</v>
      </c>
      <c r="D613" s="12"/>
      <c r="E613" s="12"/>
      <c r="F613" s="12"/>
      <c r="G613" s="12"/>
      <c r="H613" s="12"/>
    </row>
    <row r="614" customFormat="false" ht="18" hidden="false" customHeight="true" outlineLevel="0" collapsed="false">
      <c r="A614" s="10" t="s">
        <v>250</v>
      </c>
      <c r="B614" s="10"/>
      <c r="C614" s="12" t="str">
        <f aca="false">'01 ADMIN_ORDER'!E18</f>
        <v>903271746</v>
      </c>
      <c r="D614" s="12"/>
      <c r="E614" s="12"/>
      <c r="F614" s="12"/>
      <c r="G614" s="12"/>
      <c r="H614" s="12"/>
    </row>
    <row r="615" customFormat="false" ht="27.75" hidden="false" customHeight="true" outlineLevel="0" collapsed="false">
      <c r="A615" s="10" t="s">
        <v>251</v>
      </c>
      <c r="B615" s="10"/>
      <c r="C615" s="12" t="str">
        <f aca="false">'01 ADMIN_ORDER'!H18</f>
        <v>CORE BLACK/CORE BLACK/GREY FIVE</v>
      </c>
      <c r="D615" s="12"/>
      <c r="E615" s="12"/>
      <c r="F615" s="12"/>
      <c r="G615" s="12"/>
      <c r="H615" s="12"/>
    </row>
    <row r="616" customFormat="false" ht="18" hidden="false" customHeight="true" outlineLevel="0" collapsed="false">
      <c r="A616" s="10" t="s">
        <v>252</v>
      </c>
      <c r="B616" s="10"/>
      <c r="C616" s="12" t="str">
        <f aca="false">'01 ADMIN_ORDER'!B18&amp;" / "&amp;'01 ADMIN_ORDER'!G18</f>
        <v>A-19 / Israel</v>
      </c>
      <c r="D616" s="12"/>
      <c r="E616" s="12"/>
      <c r="F616" s="12"/>
      <c r="G616" s="12"/>
      <c r="H616" s="12"/>
    </row>
    <row r="617" customFormat="false" ht="18" hidden="false" customHeight="true" outlineLevel="0" collapsed="false">
      <c r="A617" s="10" t="s">
        <v>253</v>
      </c>
      <c r="B617" s="10"/>
      <c r="C617" s="13" t="str">
        <f aca="false">'01 ADMIN_ORDER'!I18&amp;" / "&amp;IF('04 KESIAPAN'!B18="","UOM BELUM DIISI",'04 KESIAPAN'!B18)</f>
        <v>124 / UOM BELUM DIISI</v>
      </c>
      <c r="D617" s="13"/>
      <c r="E617" s="13"/>
      <c r="F617" s="13"/>
      <c r="G617" s="13"/>
      <c r="H617" s="13"/>
    </row>
    <row r="618" customFormat="false" ht="18" hidden="false" customHeight="true" outlineLevel="0" collapsed="false">
      <c r="A618" s="13" t="str">
        <f aca="false">IF('04 KESIAPAN'!C18="","SISTEM UKURAN BELUM DIISI",'04 KESIAPAN'!C18)&amp;" | Tanda -: "&amp;IF('04 KESIAPAN'!D18="","BELUM DIKONFIRMASI",'04 KESIAPAN'!D18)</f>
        <v>SISTEM UKURAN BELUM DIISI | Tanda -: BELUM DIKONFIRMASI</v>
      </c>
      <c r="B618" s="13"/>
      <c r="C618" s="13"/>
      <c r="D618" s="13"/>
      <c r="E618" s="13"/>
      <c r="F618" s="13"/>
      <c r="G618" s="13"/>
      <c r="H618" s="13"/>
    </row>
    <row r="619" customFormat="false" ht="18" hidden="false" customHeight="true" outlineLevel="0" collapsed="false">
      <c r="A619" s="7" t="s">
        <v>254</v>
      </c>
      <c r="B619" s="7"/>
      <c r="C619" s="7"/>
      <c r="D619" s="7"/>
      <c r="E619" s="7"/>
      <c r="F619" s="7"/>
      <c r="G619" s="7"/>
      <c r="H619" s="7"/>
    </row>
    <row r="620" customFormat="false" ht="18" hidden="false" customHeight="true" outlineLevel="0" collapsed="false">
      <c r="A620" s="14" t="s">
        <v>214</v>
      </c>
      <c r="B620" s="0" t="n">
        <f aca="false">'02 SIZE_RUN'!D18</f>
        <v>0</v>
      </c>
      <c r="C620" s="14" t="s">
        <v>215</v>
      </c>
      <c r="D620" s="0" t="n">
        <f aca="false">'02 SIZE_RUN'!E18</f>
        <v>0</v>
      </c>
      <c r="E620" s="14" t="s">
        <v>216</v>
      </c>
      <c r="F620" s="0" t="n">
        <f aca="false">'02 SIZE_RUN'!F18</f>
        <v>0</v>
      </c>
      <c r="G620" s="14" t="s">
        <v>217</v>
      </c>
      <c r="H620" s="0" t="n">
        <f aca="false">'02 SIZE_RUN'!G18</f>
        <v>0</v>
      </c>
    </row>
    <row r="621" customFormat="false" ht="18" hidden="false" customHeight="true" outlineLevel="0" collapsed="false">
      <c r="A621" s="14" t="s">
        <v>218</v>
      </c>
      <c r="B621" s="0" t="n">
        <f aca="false">'02 SIZE_RUN'!H18</f>
        <v>0</v>
      </c>
      <c r="C621" s="14" t="s">
        <v>219</v>
      </c>
      <c r="D621" s="0" t="n">
        <f aca="false">'02 SIZE_RUN'!I18</f>
        <v>0</v>
      </c>
      <c r="E621" s="14" t="s">
        <v>220</v>
      </c>
      <c r="F621" s="0" t="n">
        <f aca="false">'02 SIZE_RUN'!J18</f>
        <v>0</v>
      </c>
      <c r="G621" s="14" t="s">
        <v>221</v>
      </c>
      <c r="H621" s="0" t="n">
        <f aca="false">'02 SIZE_RUN'!K18</f>
        <v>9</v>
      </c>
    </row>
    <row r="622" customFormat="false" ht="18" hidden="false" customHeight="true" outlineLevel="0" collapsed="false">
      <c r="A622" s="14" t="s">
        <v>222</v>
      </c>
      <c r="B622" s="0" t="n">
        <f aca="false">'02 SIZE_RUN'!L18</f>
        <v>6</v>
      </c>
      <c r="C622" s="14" t="s">
        <v>223</v>
      </c>
      <c r="D622" s="0" t="n">
        <f aca="false">'02 SIZE_RUN'!M18</f>
        <v>17</v>
      </c>
      <c r="E622" s="14" t="s">
        <v>224</v>
      </c>
      <c r="F622" s="0" t="n">
        <f aca="false">'02 SIZE_RUN'!N18</f>
        <v>22</v>
      </c>
      <c r="G622" s="14" t="s">
        <v>225</v>
      </c>
      <c r="H622" s="0" t="n">
        <f aca="false">'02 SIZE_RUN'!O18</f>
        <v>11</v>
      </c>
    </row>
    <row r="623" customFormat="false" ht="18" hidden="false" customHeight="true" outlineLevel="0" collapsed="false">
      <c r="A623" s="14" t="s">
        <v>226</v>
      </c>
      <c r="B623" s="0" t="n">
        <f aca="false">'02 SIZE_RUN'!P18</f>
        <v>11</v>
      </c>
      <c r="C623" s="14" t="s">
        <v>227</v>
      </c>
      <c r="D623" s="0" t="n">
        <f aca="false">'02 SIZE_RUN'!Q18</f>
        <v>15</v>
      </c>
      <c r="E623" s="14" t="s">
        <v>228</v>
      </c>
      <c r="F623" s="0" t="n">
        <f aca="false">'02 SIZE_RUN'!R18</f>
        <v>9</v>
      </c>
      <c r="G623" s="14" t="s">
        <v>229</v>
      </c>
      <c r="H623" s="0" t="n">
        <f aca="false">'02 SIZE_RUN'!S18</f>
        <v>11</v>
      </c>
    </row>
    <row r="624" customFormat="false" ht="18" hidden="false" customHeight="true" outlineLevel="0" collapsed="false">
      <c r="A624" s="14" t="s">
        <v>230</v>
      </c>
      <c r="B624" s="0" t="n">
        <f aca="false">'02 SIZE_RUN'!T18</f>
        <v>11</v>
      </c>
      <c r="C624" s="14" t="s">
        <v>231</v>
      </c>
      <c r="D624" s="0" t="n">
        <f aca="false">'02 SIZE_RUN'!U18</f>
        <v>1</v>
      </c>
      <c r="E624" s="14" t="s">
        <v>232</v>
      </c>
      <c r="F624" s="0" t="n">
        <f aca="false">'02 SIZE_RUN'!V18</f>
        <v>1</v>
      </c>
      <c r="G624" s="14" t="s">
        <v>233</v>
      </c>
      <c r="H624" s="0" t="n">
        <f aca="false">'02 SIZE_RUN'!W18</f>
        <v>0</v>
      </c>
    </row>
    <row r="625" customFormat="false" ht="18" hidden="false" customHeight="true" outlineLevel="0" collapsed="false">
      <c r="A625" s="14" t="s">
        <v>234</v>
      </c>
      <c r="B625" s="0" t="n">
        <f aca="false">'02 SIZE_RUN'!X18</f>
        <v>0</v>
      </c>
      <c r="C625" s="14" t="s">
        <v>235</v>
      </c>
      <c r="D625" s="0" t="n">
        <f aca="false">'02 SIZE_RUN'!Y18</f>
        <v>0</v>
      </c>
      <c r="E625" s="14" t="s">
        <v>236</v>
      </c>
      <c r="F625" s="0" t="n">
        <f aca="false">'02 SIZE_RUN'!Z18</f>
        <v>0</v>
      </c>
      <c r="G625" s="14" t="s">
        <v>237</v>
      </c>
      <c r="H625" s="0" t="n">
        <f aca="false">'02 SIZE_RUN'!AA18</f>
        <v>0</v>
      </c>
    </row>
    <row r="626" customFormat="false" ht="18" hidden="false" customHeight="true" outlineLevel="0" collapsed="false">
      <c r="A626" s="14" t="s">
        <v>238</v>
      </c>
      <c r="B626" s="0" t="n">
        <f aca="false">'02 SIZE_RUN'!AB18</f>
        <v>0</v>
      </c>
      <c r="C626" s="14" t="s">
        <v>239</v>
      </c>
      <c r="D626" s="0" t="n">
        <f aca="false">'02 SIZE_RUN'!AC18</f>
        <v>0</v>
      </c>
      <c r="E626" s="14" t="s">
        <v>240</v>
      </c>
      <c r="F626" s="0" t="n">
        <f aca="false">'02 SIZE_RUN'!AD18</f>
        <v>0</v>
      </c>
      <c r="G626" s="14" t="s">
        <v>241</v>
      </c>
      <c r="H626" s="0" t="n">
        <f aca="false">'02 SIZE_RUN'!AE18</f>
        <v>0</v>
      </c>
    </row>
    <row r="627" customFormat="false" ht="18" hidden="false" customHeight="true" outlineLevel="0" collapsed="false">
      <c r="A627" s="14" t="s">
        <v>242</v>
      </c>
      <c r="B627" s="0" t="n">
        <f aca="false">'02 SIZE_RUN'!AF18</f>
        <v>0</v>
      </c>
    </row>
    <row r="628" customFormat="false" ht="18" hidden="false" customHeight="true" outlineLevel="0" collapsed="false">
      <c r="A628" s="10" t="str">
        <f aca="false">"TOTAL SIZE: "&amp;'02 SIZE_RUN'!AG18&amp;" | SELISIH: "&amp;'02 SIZE_RUN'!AH18</f>
        <v>TOTAL SIZE: 124 | SELISIH: 0</v>
      </c>
      <c r="B628" s="10"/>
      <c r="C628" s="10"/>
      <c r="D628" s="10"/>
      <c r="E628" s="10"/>
      <c r="F628" s="10"/>
      <c r="G628" s="10"/>
      <c r="H628" s="10"/>
    </row>
    <row r="629" customFormat="false" ht="18" hidden="false" customHeight="true" outlineLevel="0" collapsed="false">
      <c r="A629" s="10" t="s">
        <v>255</v>
      </c>
      <c r="B629" s="10"/>
      <c r="C629" s="10"/>
      <c r="D629" s="13" t="str">
        <f aca="false">IF('01 ADMIN_ORDER'!P18="","BELUM DITETAPKAN",TEXT('01 ADMIN_ORDER'!P18,"dd mmm yyyy"))</f>
        <v>BELUM DITETAPKAN</v>
      </c>
      <c r="E629" s="13"/>
      <c r="F629" s="13"/>
      <c r="G629" s="13"/>
      <c r="H629" s="13"/>
    </row>
    <row r="630" customFormat="false" ht="18" hidden="false" customHeight="true" outlineLevel="0" collapsed="false">
      <c r="A630" s="10" t="s">
        <v>256</v>
      </c>
      <c r="B630" s="10"/>
      <c r="C630" s="10"/>
      <c r="D630" s="13" t="str">
        <f aca="false">IF('01 ADMIN_ORDER'!Q18="","BELUM DITETAPKAN",TEXT('01 ADMIN_ORDER'!Q18,"dd mmm yyyy"))</f>
        <v>BELUM DITETAPKAN</v>
      </c>
      <c r="E630" s="13"/>
      <c r="F630" s="13"/>
      <c r="G630" s="13"/>
      <c r="H630" s="13"/>
    </row>
    <row r="631" customFormat="false" ht="25.5" hidden="false" customHeight="true" outlineLevel="0" collapsed="false">
      <c r="A631" s="12" t="str">
        <f aca="false">"REFERENSI ASSEMBLY (bukan target upper): "&amp;TEXT('01 ADMIN_ORDER'!M18,"dd mmm yyyy")&amp;" - "&amp;TEXT('01 ADMIN_ORDER'!N18,"dd mmm yyyy")</f>
        <v>REFERENSI ASSEMBLY (bukan target upper): 14 Oct 2026 - 14 Oct 2026</v>
      </c>
      <c r="B631" s="12"/>
      <c r="C631" s="12"/>
      <c r="D631" s="12"/>
      <c r="E631" s="12"/>
      <c r="F631" s="12"/>
      <c r="G631" s="12"/>
      <c r="H631" s="12"/>
    </row>
    <row r="632" customFormat="false" ht="18" hidden="false" customHeight="true" outlineLevel="0" collapsed="false">
      <c r="A632" s="10" t="s">
        <v>257</v>
      </c>
      <c r="B632" s="10"/>
      <c r="C632" s="10"/>
      <c r="D632" s="13" t="str">
        <f aca="false">IF('04 KESIAPAN'!G18="","BELUM DIISI",'04 KESIAPAN'!G18)</f>
        <v>BELUM DIISI</v>
      </c>
      <c r="E632" s="13"/>
      <c r="F632" s="13"/>
      <c r="G632" s="13"/>
      <c r="H632" s="13"/>
    </row>
    <row r="633" customFormat="false" ht="18" hidden="false" customHeight="true" outlineLevel="0" collapsed="false">
      <c r="A633" s="10" t="s">
        <v>258</v>
      </c>
      <c r="B633" s="10"/>
      <c r="C633" s="10"/>
      <c r="D633" s="13" t="str">
        <f aca="false">IF('04 KESIAPAN'!H18="","BELUM DIISI",'04 KESIAPAN'!H18)</f>
        <v>BELUM DIISI</v>
      </c>
      <c r="E633" s="13"/>
      <c r="F633" s="13"/>
      <c r="G633" s="13"/>
      <c r="H633" s="13"/>
    </row>
    <row r="634" customFormat="false" ht="18" hidden="false" customHeight="true" outlineLevel="0" collapsed="false">
      <c r="A634" s="10" t="s">
        <v>259</v>
      </c>
      <c r="B634" s="10"/>
      <c r="C634" s="10"/>
      <c r="D634" s="13" t="str">
        <f aca="false">IF('04 KESIAPAN'!I18="","BELUM DIISI",'04 KESIAPAN'!I18)</f>
        <v>BELUM DIISI</v>
      </c>
      <c r="E634" s="13"/>
      <c r="F634" s="13"/>
      <c r="G634" s="13"/>
      <c r="H634" s="13"/>
    </row>
    <row r="635" customFormat="false" ht="18" hidden="false" customHeight="true" outlineLevel="0" collapsed="false">
      <c r="A635" s="10" t="s">
        <v>260</v>
      </c>
      <c r="B635" s="10"/>
      <c r="C635" s="10"/>
      <c r="D635" s="13" t="str">
        <f aca="false">IF('04 KESIAPAN'!K18="","BELUM DIISI",'04 KESIAPAN'!K18)</f>
        <v>BELUM DIISI</v>
      </c>
      <c r="E635" s="13"/>
      <c r="F635" s="13"/>
      <c r="G635" s="13"/>
      <c r="H635" s="13"/>
    </row>
    <row r="636" customFormat="false" ht="18" hidden="false" customHeight="true" outlineLevel="0" collapsed="false">
      <c r="A636" s="10" t="s">
        <v>261</v>
      </c>
      <c r="B636" s="10"/>
      <c r="C636" s="10"/>
      <c r="D636" s="13" t="str">
        <f aca="false">IF('04 KESIAPAN'!L18="","BELUM DIISI",'04 KESIAPAN'!L18)</f>
        <v>BELUM DIISI</v>
      </c>
      <c r="E636" s="13"/>
      <c r="F636" s="13"/>
      <c r="G636" s="13"/>
      <c r="H636" s="13"/>
    </row>
    <row r="637" customFormat="false" ht="18" hidden="false" customHeight="true" outlineLevel="0" collapsed="false">
      <c r="A637" s="10" t="s">
        <v>262</v>
      </c>
      <c r="B637" s="10"/>
      <c r="C637" s="10"/>
      <c r="D637" s="13" t="str">
        <f aca="false">IF('04 KESIAPAN'!N18="","BELUM DIISI",'04 KESIAPAN'!N18)</f>
        <v>BELUM DIISI</v>
      </c>
      <c r="E637" s="13"/>
      <c r="F637" s="13"/>
      <c r="G637" s="13"/>
      <c r="H637" s="13"/>
    </row>
    <row r="638" customFormat="false" ht="18" hidden="false" customHeight="true" outlineLevel="0" collapsed="false">
      <c r="A638" s="10" t="s">
        <v>263</v>
      </c>
      <c r="B638" s="10"/>
      <c r="C638" s="10"/>
      <c r="D638" s="13" t="str">
        <f aca="false">IF('04 KESIAPAN'!P18="","BELUM DIISI",'04 KESIAPAN'!P18)</f>
        <v>BELUM DIISI</v>
      </c>
      <c r="E638" s="13"/>
      <c r="F638" s="13"/>
      <c r="G638" s="13"/>
      <c r="H638" s="13"/>
    </row>
    <row r="639" customFormat="false" ht="18" hidden="false" customHeight="true" outlineLevel="0" collapsed="false">
      <c r="A639" s="7" t="s">
        <v>264</v>
      </c>
      <c r="B639" s="7"/>
      <c r="C639" s="7"/>
      <c r="D639" s="7"/>
      <c r="E639" s="7"/>
      <c r="F639" s="7"/>
      <c r="G639" s="7"/>
      <c r="H639" s="7"/>
    </row>
    <row r="640" customFormat="false" ht="18" hidden="false" customHeight="true" outlineLevel="0" collapsed="false">
      <c r="A640" s="13"/>
      <c r="B640" s="13"/>
      <c r="C640" s="13"/>
      <c r="D640" s="13"/>
      <c r="E640" s="13"/>
      <c r="F640" s="13"/>
      <c r="G640" s="13"/>
      <c r="H640" s="13"/>
    </row>
    <row r="641" customFormat="false" ht="18" hidden="false" customHeight="true" outlineLevel="0" collapsed="false">
      <c r="A641" s="13"/>
      <c r="B641" s="13"/>
      <c r="C641" s="13"/>
      <c r="D641" s="13"/>
      <c r="E641" s="13"/>
      <c r="F641" s="13"/>
      <c r="G641" s="13"/>
      <c r="H641" s="13"/>
    </row>
    <row r="642" customFormat="false" ht="18" hidden="false" customHeight="true" outlineLevel="0" collapsed="false">
      <c r="A642" s="13"/>
      <c r="B642" s="13"/>
      <c r="C642" s="13"/>
      <c r="D642" s="13"/>
      <c r="E642" s="13"/>
      <c r="F642" s="13"/>
      <c r="G642" s="13"/>
      <c r="H642" s="13"/>
    </row>
    <row r="643" customFormat="false" ht="18" hidden="false" customHeight="true" outlineLevel="0" collapsed="false">
      <c r="A643" s="12" t="s">
        <v>265</v>
      </c>
      <c r="B643" s="12"/>
      <c r="C643" s="12"/>
      <c r="D643" s="12"/>
      <c r="E643" s="12" t="s">
        <v>266</v>
      </c>
      <c r="F643" s="12"/>
      <c r="G643" s="12"/>
      <c r="H643" s="12"/>
    </row>
    <row r="644" customFormat="false" ht="18" hidden="false" customHeight="true" outlineLevel="0" collapsed="false">
      <c r="A644" s="12" t="s">
        <v>283</v>
      </c>
      <c r="B644" s="12"/>
      <c r="C644" s="12"/>
      <c r="D644" s="12"/>
      <c r="E644" s="12"/>
      <c r="F644" s="12"/>
      <c r="G644" s="12"/>
      <c r="H644" s="12"/>
    </row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25.5" hidden="false" customHeight="true" outlineLevel="0" collapsed="false">
      <c r="A647" s="7" t="s">
        <v>246</v>
      </c>
      <c r="B647" s="7"/>
      <c r="C647" s="7"/>
      <c r="D647" s="7"/>
      <c r="E647" s="7"/>
      <c r="F647" s="7"/>
      <c r="G647" s="7"/>
      <c r="H647" s="7"/>
    </row>
    <row r="648" customFormat="false" ht="18" hidden="false" customHeight="true" outlineLevel="0" collapsed="false">
      <c r="A648" s="8" t="str">
        <f aca="false">'01 ADMIN_ORDER'!R19</f>
        <v>DRAFT - PERLU VERIFIKASI</v>
      </c>
      <c r="B648" s="8"/>
      <c r="C648" s="8"/>
      <c r="D648" s="8"/>
      <c r="E648" s="8"/>
      <c r="F648" s="8"/>
      <c r="G648" s="8"/>
      <c r="H648" s="8"/>
    </row>
    <row r="649" customFormat="false" ht="18" hidden="false" customHeight="true" outlineLevel="0" collapsed="false">
      <c r="A649" s="9" t="s">
        <v>247</v>
      </c>
      <c r="B649" s="9"/>
      <c r="C649" s="9"/>
      <c r="D649" s="9"/>
      <c r="E649" s="9"/>
      <c r="F649" s="9"/>
      <c r="G649" s="9"/>
      <c r="H649" s="9"/>
    </row>
    <row r="650" customFormat="false" ht="18" hidden="false" customHeight="true" outlineLevel="0" collapsed="false">
      <c r="A650" s="10" t="s">
        <v>248</v>
      </c>
      <c r="B650" s="10"/>
      <c r="C650" s="11" t="str">
        <f aca="false">'01 ADMIN_ORDER'!A19</f>
        <v>154/10/18 (59)</v>
      </c>
      <c r="D650" s="11"/>
      <c r="E650" s="11"/>
      <c r="F650" s="11"/>
      <c r="G650" s="11"/>
      <c r="H650" s="11"/>
    </row>
    <row r="651" customFormat="false" ht="18" hidden="false" customHeight="true" outlineLevel="0" collapsed="false">
      <c r="A651" s="10" t="s">
        <v>249</v>
      </c>
      <c r="B651" s="10"/>
      <c r="C651" s="12" t="str">
        <f aca="false">'01 ADMIN_ORDER'!C19&amp;" / "&amp;'01 ADMIN_ORDER'!D19</f>
        <v>FRONTCOURT LOW / LA6616</v>
      </c>
      <c r="D651" s="12"/>
      <c r="E651" s="12"/>
      <c r="F651" s="12"/>
      <c r="G651" s="12"/>
      <c r="H651" s="12"/>
    </row>
    <row r="652" customFormat="false" ht="18" hidden="false" customHeight="true" outlineLevel="0" collapsed="false">
      <c r="A652" s="10" t="s">
        <v>250</v>
      </c>
      <c r="B652" s="10"/>
      <c r="C652" s="12" t="str">
        <f aca="false">'01 ADMIN_ORDER'!E19</f>
        <v>903276934</v>
      </c>
      <c r="D652" s="12"/>
      <c r="E652" s="12"/>
      <c r="F652" s="12"/>
      <c r="G652" s="12"/>
      <c r="H652" s="12"/>
    </row>
    <row r="653" customFormat="false" ht="27.75" hidden="false" customHeight="true" outlineLevel="0" collapsed="false">
      <c r="A653" s="10" t="s">
        <v>251</v>
      </c>
      <c r="B653" s="10"/>
      <c r="C653" s="12" t="str">
        <f aca="false">'01 ADMIN_ORDER'!H19</f>
        <v>EARTH STRATA/OFF WHITE/DARK BROWN</v>
      </c>
      <c r="D653" s="12"/>
      <c r="E653" s="12"/>
      <c r="F653" s="12"/>
      <c r="G653" s="12"/>
      <c r="H653" s="12"/>
    </row>
    <row r="654" customFormat="false" ht="18" hidden="false" customHeight="true" outlineLevel="0" collapsed="false">
      <c r="A654" s="10" t="s">
        <v>252</v>
      </c>
      <c r="B654" s="10"/>
      <c r="C654" s="12" t="str">
        <f aca="false">'01 ADMIN_ORDER'!B19&amp;" / "&amp;'01 ADMIN_ORDER'!G19</f>
        <v>A-19 / Israel</v>
      </c>
      <c r="D654" s="12"/>
      <c r="E654" s="12"/>
      <c r="F654" s="12"/>
      <c r="G654" s="12"/>
      <c r="H654" s="12"/>
    </row>
    <row r="655" customFormat="false" ht="18" hidden="false" customHeight="true" outlineLevel="0" collapsed="false">
      <c r="A655" s="10" t="s">
        <v>253</v>
      </c>
      <c r="B655" s="10"/>
      <c r="C655" s="13" t="str">
        <f aca="false">'01 ADMIN_ORDER'!I19&amp;" / "&amp;IF('04 KESIAPAN'!B19="","UOM BELUM DIISI",'04 KESIAPAN'!B19)</f>
        <v>406 / UOM BELUM DIISI</v>
      </c>
      <c r="D655" s="13"/>
      <c r="E655" s="13"/>
      <c r="F655" s="13"/>
      <c r="G655" s="13"/>
      <c r="H655" s="13"/>
    </row>
    <row r="656" customFormat="false" ht="18" hidden="false" customHeight="true" outlineLevel="0" collapsed="false">
      <c r="A656" s="13" t="str">
        <f aca="false">IF('04 KESIAPAN'!C19="","SISTEM UKURAN BELUM DIISI",'04 KESIAPAN'!C19)&amp;" | Tanda -: "&amp;IF('04 KESIAPAN'!D19="","BELUM DIKONFIRMASI",'04 KESIAPAN'!D19)</f>
        <v>SISTEM UKURAN BELUM DIISI | Tanda -: BELUM DIKONFIRMASI</v>
      </c>
      <c r="B656" s="13"/>
      <c r="C656" s="13"/>
      <c r="D656" s="13"/>
      <c r="E656" s="13"/>
      <c r="F656" s="13"/>
      <c r="G656" s="13"/>
      <c r="H656" s="13"/>
    </row>
    <row r="657" customFormat="false" ht="18" hidden="false" customHeight="true" outlineLevel="0" collapsed="false">
      <c r="A657" s="7" t="s">
        <v>254</v>
      </c>
      <c r="B657" s="7"/>
      <c r="C657" s="7"/>
      <c r="D657" s="7"/>
      <c r="E657" s="7"/>
      <c r="F657" s="7"/>
      <c r="G657" s="7"/>
      <c r="H657" s="7"/>
    </row>
    <row r="658" customFormat="false" ht="18" hidden="false" customHeight="true" outlineLevel="0" collapsed="false">
      <c r="A658" s="14" t="s">
        <v>214</v>
      </c>
      <c r="B658" s="0" t="n">
        <f aca="false">'02 SIZE_RUN'!D19</f>
        <v>0</v>
      </c>
      <c r="C658" s="14" t="s">
        <v>215</v>
      </c>
      <c r="D658" s="0" t="n">
        <f aca="false">'02 SIZE_RUN'!E19</f>
        <v>0</v>
      </c>
      <c r="E658" s="14" t="s">
        <v>216</v>
      </c>
      <c r="F658" s="0" t="n">
        <f aca="false">'02 SIZE_RUN'!F19</f>
        <v>0</v>
      </c>
      <c r="G658" s="14" t="s">
        <v>217</v>
      </c>
      <c r="H658" s="0" t="n">
        <f aca="false">'02 SIZE_RUN'!G19</f>
        <v>0</v>
      </c>
    </row>
    <row r="659" customFormat="false" ht="18" hidden="false" customHeight="true" outlineLevel="0" collapsed="false">
      <c r="A659" s="14" t="s">
        <v>218</v>
      </c>
      <c r="B659" s="0" t="n">
        <f aca="false">'02 SIZE_RUN'!H19</f>
        <v>0</v>
      </c>
      <c r="C659" s="14" t="s">
        <v>219</v>
      </c>
      <c r="D659" s="0" t="n">
        <f aca="false">'02 SIZE_RUN'!I19</f>
        <v>0</v>
      </c>
      <c r="E659" s="14" t="s">
        <v>220</v>
      </c>
      <c r="F659" s="0" t="n">
        <f aca="false">'02 SIZE_RUN'!J19</f>
        <v>0</v>
      </c>
      <c r="G659" s="14" t="s">
        <v>221</v>
      </c>
      <c r="H659" s="0" t="n">
        <f aca="false">'02 SIZE_RUN'!K19</f>
        <v>22</v>
      </c>
    </row>
    <row r="660" customFormat="false" ht="18" hidden="false" customHeight="true" outlineLevel="0" collapsed="false">
      <c r="A660" s="14" t="s">
        <v>222</v>
      </c>
      <c r="B660" s="0" t="n">
        <f aca="false">'02 SIZE_RUN'!L19</f>
        <v>11</v>
      </c>
      <c r="C660" s="14" t="s">
        <v>223</v>
      </c>
      <c r="D660" s="0" t="n">
        <f aca="false">'02 SIZE_RUN'!M19</f>
        <v>50</v>
      </c>
      <c r="E660" s="14" t="s">
        <v>224</v>
      </c>
      <c r="F660" s="0" t="n">
        <f aca="false">'02 SIZE_RUN'!N19</f>
        <v>62</v>
      </c>
      <c r="G660" s="14" t="s">
        <v>225</v>
      </c>
      <c r="H660" s="0" t="n">
        <f aca="false">'02 SIZE_RUN'!O19</f>
        <v>35</v>
      </c>
    </row>
    <row r="661" customFormat="false" ht="18" hidden="false" customHeight="true" outlineLevel="0" collapsed="false">
      <c r="A661" s="14" t="s">
        <v>226</v>
      </c>
      <c r="B661" s="0" t="n">
        <f aca="false">'02 SIZE_RUN'!P19</f>
        <v>56</v>
      </c>
      <c r="C661" s="14" t="s">
        <v>227</v>
      </c>
      <c r="D661" s="0" t="n">
        <f aca="false">'02 SIZE_RUN'!Q19</f>
        <v>48</v>
      </c>
      <c r="E661" s="14" t="s">
        <v>228</v>
      </c>
      <c r="F661" s="0" t="n">
        <f aca="false">'02 SIZE_RUN'!R19</f>
        <v>32</v>
      </c>
      <c r="G661" s="14" t="s">
        <v>229</v>
      </c>
      <c r="H661" s="0" t="n">
        <f aca="false">'02 SIZE_RUN'!S19</f>
        <v>40</v>
      </c>
    </row>
    <row r="662" customFormat="false" ht="18" hidden="false" customHeight="true" outlineLevel="0" collapsed="false">
      <c r="A662" s="14" t="s">
        <v>230</v>
      </c>
      <c r="B662" s="0" t="n">
        <f aca="false">'02 SIZE_RUN'!T19</f>
        <v>32</v>
      </c>
      <c r="C662" s="14" t="s">
        <v>231</v>
      </c>
      <c r="D662" s="0" t="n">
        <f aca="false">'02 SIZE_RUN'!U19</f>
        <v>1</v>
      </c>
      <c r="E662" s="14" t="s">
        <v>232</v>
      </c>
      <c r="F662" s="0" t="n">
        <f aca="false">'02 SIZE_RUN'!V19</f>
        <v>17</v>
      </c>
      <c r="G662" s="14" t="s">
        <v>233</v>
      </c>
      <c r="H662" s="0" t="n">
        <f aca="false">'02 SIZE_RUN'!W19</f>
        <v>0</v>
      </c>
    </row>
    <row r="663" customFormat="false" ht="18" hidden="false" customHeight="true" outlineLevel="0" collapsed="false">
      <c r="A663" s="14" t="s">
        <v>234</v>
      </c>
      <c r="B663" s="0" t="n">
        <f aca="false">'02 SIZE_RUN'!X19</f>
        <v>0</v>
      </c>
      <c r="C663" s="14" t="s">
        <v>235</v>
      </c>
      <c r="D663" s="0" t="n">
        <f aca="false">'02 SIZE_RUN'!Y19</f>
        <v>0</v>
      </c>
      <c r="E663" s="14" t="s">
        <v>236</v>
      </c>
      <c r="F663" s="0" t="n">
        <f aca="false">'02 SIZE_RUN'!Z19</f>
        <v>0</v>
      </c>
      <c r="G663" s="14" t="s">
        <v>237</v>
      </c>
      <c r="H663" s="0" t="n">
        <f aca="false">'02 SIZE_RUN'!AA19</f>
        <v>0</v>
      </c>
    </row>
    <row r="664" customFormat="false" ht="18" hidden="false" customHeight="true" outlineLevel="0" collapsed="false">
      <c r="A664" s="14" t="s">
        <v>238</v>
      </c>
      <c r="B664" s="0" t="n">
        <f aca="false">'02 SIZE_RUN'!AB19</f>
        <v>0</v>
      </c>
      <c r="C664" s="14" t="s">
        <v>239</v>
      </c>
      <c r="D664" s="0" t="n">
        <f aca="false">'02 SIZE_RUN'!AC19</f>
        <v>0</v>
      </c>
      <c r="E664" s="14" t="s">
        <v>240</v>
      </c>
      <c r="F664" s="0" t="n">
        <f aca="false">'02 SIZE_RUN'!AD19</f>
        <v>0</v>
      </c>
      <c r="G664" s="14" t="s">
        <v>241</v>
      </c>
      <c r="H664" s="0" t="n">
        <f aca="false">'02 SIZE_RUN'!AE19</f>
        <v>0</v>
      </c>
    </row>
    <row r="665" customFormat="false" ht="18" hidden="false" customHeight="true" outlineLevel="0" collapsed="false">
      <c r="A665" s="14" t="s">
        <v>242</v>
      </c>
      <c r="B665" s="0" t="n">
        <f aca="false">'02 SIZE_RUN'!AF19</f>
        <v>0</v>
      </c>
    </row>
    <row r="666" customFormat="false" ht="18" hidden="false" customHeight="true" outlineLevel="0" collapsed="false">
      <c r="A666" s="10" t="str">
        <f aca="false">"TOTAL SIZE: "&amp;'02 SIZE_RUN'!AG19&amp;" | SELISIH: "&amp;'02 SIZE_RUN'!AH19</f>
        <v>TOTAL SIZE: 406 | SELISIH: 0</v>
      </c>
      <c r="B666" s="10"/>
      <c r="C666" s="10"/>
      <c r="D666" s="10"/>
      <c r="E666" s="10"/>
      <c r="F666" s="10"/>
      <c r="G666" s="10"/>
      <c r="H666" s="10"/>
    </row>
    <row r="667" customFormat="false" ht="18" hidden="false" customHeight="true" outlineLevel="0" collapsed="false">
      <c r="A667" s="10" t="s">
        <v>255</v>
      </c>
      <c r="B667" s="10"/>
      <c r="C667" s="10"/>
      <c r="D667" s="13" t="str">
        <f aca="false">IF('01 ADMIN_ORDER'!P19="","BELUM DITETAPKAN",TEXT('01 ADMIN_ORDER'!P19,"dd mmm yyyy"))</f>
        <v>BELUM DITETAPKAN</v>
      </c>
      <c r="E667" s="13"/>
      <c r="F667" s="13"/>
      <c r="G667" s="13"/>
      <c r="H667" s="13"/>
    </row>
    <row r="668" customFormat="false" ht="18" hidden="false" customHeight="true" outlineLevel="0" collapsed="false">
      <c r="A668" s="10" t="s">
        <v>256</v>
      </c>
      <c r="B668" s="10"/>
      <c r="C668" s="10"/>
      <c r="D668" s="13" t="str">
        <f aca="false">IF('01 ADMIN_ORDER'!Q19="","BELUM DITETAPKAN",TEXT('01 ADMIN_ORDER'!Q19,"dd mmm yyyy"))</f>
        <v>BELUM DITETAPKAN</v>
      </c>
      <c r="E668" s="13"/>
      <c r="F668" s="13"/>
      <c r="G668" s="13"/>
      <c r="H668" s="13"/>
    </row>
    <row r="669" customFormat="false" ht="25.5" hidden="false" customHeight="true" outlineLevel="0" collapsed="false">
      <c r="A669" s="12" t="str">
        <f aca="false">"REFERENSI ASSEMBLY (bukan target upper): "&amp;TEXT('01 ADMIN_ORDER'!M19,"dd mmm yyyy")&amp;" - "&amp;TEXT('01 ADMIN_ORDER'!N19,"dd mmm yyyy")</f>
        <v>REFERENSI ASSEMBLY (bukan target upper): 14 Oct 2026 - 15 Oct 2026</v>
      </c>
      <c r="B669" s="12"/>
      <c r="C669" s="12"/>
      <c r="D669" s="12"/>
      <c r="E669" s="12"/>
      <c r="F669" s="12"/>
      <c r="G669" s="12"/>
      <c r="H669" s="12"/>
    </row>
    <row r="670" customFormat="false" ht="18" hidden="false" customHeight="true" outlineLevel="0" collapsed="false">
      <c r="A670" s="10" t="s">
        <v>257</v>
      </c>
      <c r="B670" s="10"/>
      <c r="C670" s="10"/>
      <c r="D670" s="13" t="str">
        <f aca="false">IF('04 KESIAPAN'!G19="","BELUM DIISI",'04 KESIAPAN'!G19)</f>
        <v>BELUM DIISI</v>
      </c>
      <c r="E670" s="13"/>
      <c r="F670" s="13"/>
      <c r="G670" s="13"/>
      <c r="H670" s="13"/>
    </row>
    <row r="671" customFormat="false" ht="18" hidden="false" customHeight="true" outlineLevel="0" collapsed="false">
      <c r="A671" s="10" t="s">
        <v>258</v>
      </c>
      <c r="B671" s="10"/>
      <c r="C671" s="10"/>
      <c r="D671" s="13" t="str">
        <f aca="false">IF('04 KESIAPAN'!H19="","BELUM DIISI",'04 KESIAPAN'!H19)</f>
        <v>BELUM DIISI</v>
      </c>
      <c r="E671" s="13"/>
      <c r="F671" s="13"/>
      <c r="G671" s="13"/>
      <c r="H671" s="13"/>
    </row>
    <row r="672" customFormat="false" ht="18" hidden="false" customHeight="true" outlineLevel="0" collapsed="false">
      <c r="A672" s="10" t="s">
        <v>259</v>
      </c>
      <c r="B672" s="10"/>
      <c r="C672" s="10"/>
      <c r="D672" s="13" t="str">
        <f aca="false">IF('04 KESIAPAN'!I19="","BELUM DIISI",'04 KESIAPAN'!I19)</f>
        <v>BELUM DIISI</v>
      </c>
      <c r="E672" s="13"/>
      <c r="F672" s="13"/>
      <c r="G672" s="13"/>
      <c r="H672" s="13"/>
    </row>
    <row r="673" customFormat="false" ht="18" hidden="false" customHeight="true" outlineLevel="0" collapsed="false">
      <c r="A673" s="10" t="s">
        <v>260</v>
      </c>
      <c r="B673" s="10"/>
      <c r="C673" s="10"/>
      <c r="D673" s="13" t="str">
        <f aca="false">IF('04 KESIAPAN'!K19="","BELUM DIISI",'04 KESIAPAN'!K19)</f>
        <v>BELUM DIISI</v>
      </c>
      <c r="E673" s="13"/>
      <c r="F673" s="13"/>
      <c r="G673" s="13"/>
      <c r="H673" s="13"/>
    </row>
    <row r="674" customFormat="false" ht="18" hidden="false" customHeight="true" outlineLevel="0" collapsed="false">
      <c r="A674" s="10" t="s">
        <v>261</v>
      </c>
      <c r="B674" s="10"/>
      <c r="C674" s="10"/>
      <c r="D674" s="13" t="str">
        <f aca="false">IF('04 KESIAPAN'!L19="","BELUM DIISI",'04 KESIAPAN'!L19)</f>
        <v>BELUM DIISI</v>
      </c>
      <c r="E674" s="13"/>
      <c r="F674" s="13"/>
      <c r="G674" s="13"/>
      <c r="H674" s="13"/>
    </row>
    <row r="675" customFormat="false" ht="18" hidden="false" customHeight="true" outlineLevel="0" collapsed="false">
      <c r="A675" s="10" t="s">
        <v>262</v>
      </c>
      <c r="B675" s="10"/>
      <c r="C675" s="10"/>
      <c r="D675" s="13" t="str">
        <f aca="false">IF('04 KESIAPAN'!N19="","BELUM DIISI",'04 KESIAPAN'!N19)</f>
        <v>BELUM DIISI</v>
      </c>
      <c r="E675" s="13"/>
      <c r="F675" s="13"/>
      <c r="G675" s="13"/>
      <c r="H675" s="13"/>
    </row>
    <row r="676" customFormat="false" ht="18" hidden="false" customHeight="true" outlineLevel="0" collapsed="false">
      <c r="A676" s="10" t="s">
        <v>263</v>
      </c>
      <c r="B676" s="10"/>
      <c r="C676" s="10"/>
      <c r="D676" s="13" t="str">
        <f aca="false">IF('04 KESIAPAN'!P19="","BELUM DIISI",'04 KESIAPAN'!P19)</f>
        <v>BELUM DIISI</v>
      </c>
      <c r="E676" s="13"/>
      <c r="F676" s="13"/>
      <c r="G676" s="13"/>
      <c r="H676" s="13"/>
    </row>
    <row r="677" customFormat="false" ht="18" hidden="false" customHeight="true" outlineLevel="0" collapsed="false">
      <c r="A677" s="7" t="s">
        <v>264</v>
      </c>
      <c r="B677" s="7"/>
      <c r="C677" s="7"/>
      <c r="D677" s="7"/>
      <c r="E677" s="7"/>
      <c r="F677" s="7"/>
      <c r="G677" s="7"/>
      <c r="H677" s="7"/>
    </row>
    <row r="678" customFormat="false" ht="18" hidden="false" customHeight="true" outlineLevel="0" collapsed="false">
      <c r="A678" s="13"/>
      <c r="B678" s="13"/>
      <c r="C678" s="13"/>
      <c r="D678" s="13"/>
      <c r="E678" s="13"/>
      <c r="F678" s="13"/>
      <c r="G678" s="13"/>
      <c r="H678" s="13"/>
    </row>
    <row r="679" customFormat="false" ht="18" hidden="false" customHeight="true" outlineLevel="0" collapsed="false">
      <c r="A679" s="13"/>
      <c r="B679" s="13"/>
      <c r="C679" s="13"/>
      <c r="D679" s="13"/>
      <c r="E679" s="13"/>
      <c r="F679" s="13"/>
      <c r="G679" s="13"/>
      <c r="H679" s="13"/>
    </row>
    <row r="680" customFormat="false" ht="18" hidden="false" customHeight="true" outlineLevel="0" collapsed="false">
      <c r="A680" s="13"/>
      <c r="B680" s="13"/>
      <c r="C680" s="13"/>
      <c r="D680" s="13"/>
      <c r="E680" s="13"/>
      <c r="F680" s="13"/>
      <c r="G680" s="13"/>
      <c r="H680" s="13"/>
    </row>
    <row r="681" customFormat="false" ht="18" hidden="false" customHeight="true" outlineLevel="0" collapsed="false">
      <c r="A681" s="12" t="s">
        <v>265</v>
      </c>
      <c r="B681" s="12"/>
      <c r="C681" s="12"/>
      <c r="D681" s="12"/>
      <c r="E681" s="12" t="s">
        <v>266</v>
      </c>
      <c r="F681" s="12"/>
      <c r="G681" s="12"/>
      <c r="H681" s="12"/>
    </row>
    <row r="682" customFormat="false" ht="18" hidden="false" customHeight="true" outlineLevel="0" collapsed="false">
      <c r="A682" s="12" t="s">
        <v>284</v>
      </c>
      <c r="B682" s="12"/>
      <c r="C682" s="12"/>
      <c r="D682" s="12"/>
      <c r="E682" s="12"/>
      <c r="F682" s="12"/>
      <c r="G682" s="12"/>
      <c r="H682" s="12"/>
    </row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25.5" hidden="false" customHeight="true" outlineLevel="0" collapsed="false">
      <c r="A685" s="7" t="s">
        <v>246</v>
      </c>
      <c r="B685" s="7"/>
      <c r="C685" s="7"/>
      <c r="D685" s="7"/>
      <c r="E685" s="7"/>
      <c r="F685" s="7"/>
      <c r="G685" s="7"/>
      <c r="H685" s="7"/>
    </row>
    <row r="686" customFormat="false" ht="18" hidden="false" customHeight="true" outlineLevel="0" collapsed="false">
      <c r="A686" s="8" t="str">
        <f aca="false">'01 ADMIN_ORDER'!R20</f>
        <v>DRAFT - PERLU VERIFIKASI</v>
      </c>
      <c r="B686" s="8"/>
      <c r="C686" s="8"/>
      <c r="D686" s="8"/>
      <c r="E686" s="8"/>
      <c r="F686" s="8"/>
      <c r="G686" s="8"/>
      <c r="H686" s="8"/>
    </row>
    <row r="687" customFormat="false" ht="18" hidden="false" customHeight="true" outlineLevel="0" collapsed="false">
      <c r="A687" s="9" t="s">
        <v>247</v>
      </c>
      <c r="B687" s="9"/>
      <c r="C687" s="9"/>
      <c r="D687" s="9"/>
      <c r="E687" s="9"/>
      <c r="F687" s="9"/>
      <c r="G687" s="9"/>
      <c r="H687" s="9"/>
    </row>
    <row r="688" customFormat="false" ht="18" hidden="false" customHeight="true" outlineLevel="0" collapsed="false">
      <c r="A688" s="10" t="s">
        <v>248</v>
      </c>
      <c r="B688" s="10"/>
      <c r="C688" s="11" t="str">
        <f aca="false">'01 ADMIN_ORDER'!A20</f>
        <v>155/10/19 (59)</v>
      </c>
      <c r="D688" s="11"/>
      <c r="E688" s="11"/>
      <c r="F688" s="11"/>
      <c r="G688" s="11"/>
      <c r="H688" s="11"/>
    </row>
    <row r="689" customFormat="false" ht="18" hidden="false" customHeight="true" outlineLevel="0" collapsed="false">
      <c r="A689" s="10" t="s">
        <v>249</v>
      </c>
      <c r="B689" s="10"/>
      <c r="C689" s="12" t="str">
        <f aca="false">'01 ADMIN_ORDER'!C20&amp;" / "&amp;'01 ADMIN_ORDER'!D20</f>
        <v>FRONTCOURT LOW / LA6616</v>
      </c>
      <c r="D689" s="12"/>
      <c r="E689" s="12"/>
      <c r="F689" s="12"/>
      <c r="G689" s="12"/>
      <c r="H689" s="12"/>
    </row>
    <row r="690" customFormat="false" ht="18" hidden="false" customHeight="true" outlineLevel="0" collapsed="false">
      <c r="A690" s="10" t="s">
        <v>250</v>
      </c>
      <c r="B690" s="10"/>
      <c r="C690" s="12" t="str">
        <f aca="false">'01 ADMIN_ORDER'!E20</f>
        <v>903394877</v>
      </c>
      <c r="D690" s="12"/>
      <c r="E690" s="12"/>
      <c r="F690" s="12"/>
      <c r="G690" s="12"/>
      <c r="H690" s="12"/>
    </row>
    <row r="691" customFormat="false" ht="27.75" hidden="false" customHeight="true" outlineLevel="0" collapsed="false">
      <c r="A691" s="10" t="s">
        <v>251</v>
      </c>
      <c r="B691" s="10"/>
      <c r="C691" s="12" t="str">
        <f aca="false">'01 ADMIN_ORDER'!H20</f>
        <v>EARTH STRATA/OFF WHITE/DARK BROWN</v>
      </c>
      <c r="D691" s="12"/>
      <c r="E691" s="12"/>
      <c r="F691" s="12"/>
      <c r="G691" s="12"/>
      <c r="H691" s="12"/>
    </row>
    <row r="692" customFormat="false" ht="18" hidden="false" customHeight="true" outlineLevel="0" collapsed="false">
      <c r="A692" s="10" t="s">
        <v>252</v>
      </c>
      <c r="B692" s="10"/>
      <c r="C692" s="12" t="str">
        <f aca="false">'01 ADMIN_ORDER'!B20&amp;" / "&amp;'01 ADMIN_ORDER'!G20</f>
        <v>A-19 / Italy (Zalando)</v>
      </c>
      <c r="D692" s="12"/>
      <c r="E692" s="12"/>
      <c r="F692" s="12"/>
      <c r="G692" s="12"/>
      <c r="H692" s="12"/>
    </row>
    <row r="693" customFormat="false" ht="18" hidden="false" customHeight="true" outlineLevel="0" collapsed="false">
      <c r="A693" s="10" t="s">
        <v>253</v>
      </c>
      <c r="B693" s="10"/>
      <c r="C693" s="13" t="str">
        <f aca="false">'01 ADMIN_ORDER'!I20&amp;" / "&amp;IF('04 KESIAPAN'!B20="","UOM BELUM DIISI",'04 KESIAPAN'!B20)</f>
        <v>455 / UOM BELUM DIISI</v>
      </c>
      <c r="D693" s="13"/>
      <c r="E693" s="13"/>
      <c r="F693" s="13"/>
      <c r="G693" s="13"/>
      <c r="H693" s="13"/>
    </row>
    <row r="694" customFormat="false" ht="18" hidden="false" customHeight="true" outlineLevel="0" collapsed="false">
      <c r="A694" s="13" t="str">
        <f aca="false">IF('04 KESIAPAN'!C20="","SISTEM UKURAN BELUM DIISI",'04 KESIAPAN'!C20)&amp;" | Tanda -: "&amp;IF('04 KESIAPAN'!D20="","BELUM DIKONFIRMASI",'04 KESIAPAN'!D20)</f>
        <v>SISTEM UKURAN BELUM DIISI | Tanda -: BELUM DIKONFIRMASI</v>
      </c>
      <c r="B694" s="13"/>
      <c r="C694" s="13"/>
      <c r="D694" s="13"/>
      <c r="E694" s="13"/>
      <c r="F694" s="13"/>
      <c r="G694" s="13"/>
      <c r="H694" s="13"/>
    </row>
    <row r="695" customFormat="false" ht="18" hidden="false" customHeight="true" outlineLevel="0" collapsed="false">
      <c r="A695" s="7" t="s">
        <v>254</v>
      </c>
      <c r="B695" s="7"/>
      <c r="C695" s="7"/>
      <c r="D695" s="7"/>
      <c r="E695" s="7"/>
      <c r="F695" s="7"/>
      <c r="G695" s="7"/>
      <c r="H695" s="7"/>
    </row>
    <row r="696" customFormat="false" ht="18" hidden="false" customHeight="true" outlineLevel="0" collapsed="false">
      <c r="A696" s="14" t="s">
        <v>214</v>
      </c>
      <c r="B696" s="0" t="n">
        <f aca="false">'02 SIZE_RUN'!D20</f>
        <v>0</v>
      </c>
      <c r="C696" s="14" t="s">
        <v>215</v>
      </c>
      <c r="D696" s="0" t="n">
        <f aca="false">'02 SIZE_RUN'!E20</f>
        <v>0</v>
      </c>
      <c r="E696" s="14" t="s">
        <v>216</v>
      </c>
      <c r="F696" s="0" t="n">
        <f aca="false">'02 SIZE_RUN'!F20</f>
        <v>0</v>
      </c>
      <c r="G696" s="14" t="s">
        <v>217</v>
      </c>
      <c r="H696" s="0" t="n">
        <f aca="false">'02 SIZE_RUN'!G20</f>
        <v>0</v>
      </c>
    </row>
    <row r="697" customFormat="false" ht="18" hidden="false" customHeight="true" outlineLevel="0" collapsed="false">
      <c r="A697" s="14" t="s">
        <v>218</v>
      </c>
      <c r="B697" s="0" t="n">
        <f aca="false">'02 SIZE_RUN'!H20</f>
        <v>0</v>
      </c>
      <c r="C697" s="14" t="s">
        <v>219</v>
      </c>
      <c r="D697" s="0" t="n">
        <f aca="false">'02 SIZE_RUN'!I20</f>
        <v>0</v>
      </c>
      <c r="E697" s="14" t="s">
        <v>220</v>
      </c>
      <c r="F697" s="0" t="n">
        <f aca="false">'02 SIZE_RUN'!J20</f>
        <v>50</v>
      </c>
      <c r="G697" s="14" t="s">
        <v>221</v>
      </c>
      <c r="H697" s="0" t="n">
        <f aca="false">'02 SIZE_RUN'!K20</f>
        <v>165</v>
      </c>
    </row>
    <row r="698" customFormat="false" ht="18" hidden="false" customHeight="true" outlineLevel="0" collapsed="false">
      <c r="A698" s="14" t="s">
        <v>222</v>
      </c>
      <c r="B698" s="0" t="n">
        <f aca="false">'02 SIZE_RUN'!L20</f>
        <v>0</v>
      </c>
      <c r="C698" s="14" t="s">
        <v>223</v>
      </c>
      <c r="D698" s="0" t="n">
        <f aca="false">'02 SIZE_RUN'!M20</f>
        <v>0</v>
      </c>
      <c r="E698" s="14" t="s">
        <v>224</v>
      </c>
      <c r="F698" s="0" t="n">
        <f aca="false">'02 SIZE_RUN'!N20</f>
        <v>50</v>
      </c>
      <c r="G698" s="14" t="s">
        <v>225</v>
      </c>
      <c r="H698" s="0" t="n">
        <f aca="false">'02 SIZE_RUN'!O20</f>
        <v>0</v>
      </c>
    </row>
    <row r="699" customFormat="false" ht="18" hidden="false" customHeight="true" outlineLevel="0" collapsed="false">
      <c r="A699" s="14" t="s">
        <v>226</v>
      </c>
      <c r="B699" s="0" t="n">
        <f aca="false">'02 SIZE_RUN'!P20</f>
        <v>0</v>
      </c>
      <c r="C699" s="14" t="s">
        <v>227</v>
      </c>
      <c r="D699" s="0" t="n">
        <f aca="false">'02 SIZE_RUN'!Q20</f>
        <v>190</v>
      </c>
      <c r="E699" s="14" t="s">
        <v>228</v>
      </c>
      <c r="F699" s="0" t="n">
        <f aca="false">'02 SIZE_RUN'!R20</f>
        <v>0</v>
      </c>
      <c r="G699" s="14" t="s">
        <v>229</v>
      </c>
      <c r="H699" s="0" t="n">
        <f aca="false">'02 SIZE_RUN'!S20</f>
        <v>0</v>
      </c>
    </row>
    <row r="700" customFormat="false" ht="18" hidden="false" customHeight="true" outlineLevel="0" collapsed="false">
      <c r="A700" s="14" t="s">
        <v>230</v>
      </c>
      <c r="B700" s="0" t="n">
        <f aca="false">'02 SIZE_RUN'!T20</f>
        <v>0</v>
      </c>
      <c r="C700" s="14" t="s">
        <v>231</v>
      </c>
      <c r="D700" s="0" t="n">
        <f aca="false">'02 SIZE_RUN'!U20</f>
        <v>0</v>
      </c>
      <c r="E700" s="14" t="s">
        <v>232</v>
      </c>
      <c r="F700" s="0" t="n">
        <f aca="false">'02 SIZE_RUN'!V20</f>
        <v>0</v>
      </c>
      <c r="G700" s="14" t="s">
        <v>233</v>
      </c>
      <c r="H700" s="0" t="n">
        <f aca="false">'02 SIZE_RUN'!W20</f>
        <v>0</v>
      </c>
    </row>
    <row r="701" customFormat="false" ht="18" hidden="false" customHeight="true" outlineLevel="0" collapsed="false">
      <c r="A701" s="14" t="s">
        <v>234</v>
      </c>
      <c r="B701" s="0" t="n">
        <f aca="false">'02 SIZE_RUN'!X20</f>
        <v>0</v>
      </c>
      <c r="C701" s="14" t="s">
        <v>235</v>
      </c>
      <c r="D701" s="0" t="n">
        <f aca="false">'02 SIZE_RUN'!Y20</f>
        <v>0</v>
      </c>
      <c r="E701" s="14" t="s">
        <v>236</v>
      </c>
      <c r="F701" s="0" t="n">
        <f aca="false">'02 SIZE_RUN'!Z20</f>
        <v>0</v>
      </c>
      <c r="G701" s="14" t="s">
        <v>237</v>
      </c>
      <c r="H701" s="0" t="n">
        <f aca="false">'02 SIZE_RUN'!AA20</f>
        <v>0</v>
      </c>
    </row>
    <row r="702" customFormat="false" ht="18" hidden="false" customHeight="true" outlineLevel="0" collapsed="false">
      <c r="A702" s="14" t="s">
        <v>238</v>
      </c>
      <c r="B702" s="0" t="n">
        <f aca="false">'02 SIZE_RUN'!AB20</f>
        <v>0</v>
      </c>
      <c r="C702" s="14" t="s">
        <v>239</v>
      </c>
      <c r="D702" s="0" t="n">
        <f aca="false">'02 SIZE_RUN'!AC20</f>
        <v>0</v>
      </c>
      <c r="E702" s="14" t="s">
        <v>240</v>
      </c>
      <c r="F702" s="0" t="n">
        <f aca="false">'02 SIZE_RUN'!AD20</f>
        <v>0</v>
      </c>
      <c r="G702" s="14" t="s">
        <v>241</v>
      </c>
      <c r="H702" s="0" t="n">
        <f aca="false">'02 SIZE_RUN'!AE20</f>
        <v>0</v>
      </c>
    </row>
    <row r="703" customFormat="false" ht="18" hidden="false" customHeight="true" outlineLevel="0" collapsed="false">
      <c r="A703" s="14" t="s">
        <v>242</v>
      </c>
      <c r="B703" s="0" t="n">
        <f aca="false">'02 SIZE_RUN'!AF20</f>
        <v>0</v>
      </c>
    </row>
    <row r="704" customFormat="false" ht="18" hidden="false" customHeight="true" outlineLevel="0" collapsed="false">
      <c r="A704" s="10" t="str">
        <f aca="false">"TOTAL SIZE: "&amp;'02 SIZE_RUN'!AG20&amp;" | SELISIH: "&amp;'02 SIZE_RUN'!AH20</f>
        <v>TOTAL SIZE: 455 | SELISIH: 0</v>
      </c>
      <c r="B704" s="10"/>
      <c r="C704" s="10"/>
      <c r="D704" s="10"/>
      <c r="E704" s="10"/>
      <c r="F704" s="10"/>
      <c r="G704" s="10"/>
      <c r="H704" s="10"/>
    </row>
    <row r="705" customFormat="false" ht="18" hidden="false" customHeight="true" outlineLevel="0" collapsed="false">
      <c r="A705" s="10" t="s">
        <v>255</v>
      </c>
      <c r="B705" s="10"/>
      <c r="C705" s="10"/>
      <c r="D705" s="13" t="str">
        <f aca="false">IF('01 ADMIN_ORDER'!P20="","BELUM DITETAPKAN",TEXT('01 ADMIN_ORDER'!P20,"dd mmm yyyy"))</f>
        <v>BELUM DITETAPKAN</v>
      </c>
      <c r="E705" s="13"/>
      <c r="F705" s="13"/>
      <c r="G705" s="13"/>
      <c r="H705" s="13"/>
    </row>
    <row r="706" customFormat="false" ht="18" hidden="false" customHeight="true" outlineLevel="0" collapsed="false">
      <c r="A706" s="10" t="s">
        <v>256</v>
      </c>
      <c r="B706" s="10"/>
      <c r="C706" s="10"/>
      <c r="D706" s="13" t="str">
        <f aca="false">IF('01 ADMIN_ORDER'!Q20="","BELUM DITETAPKAN",TEXT('01 ADMIN_ORDER'!Q20,"dd mmm yyyy"))</f>
        <v>BELUM DITETAPKAN</v>
      </c>
      <c r="E706" s="13"/>
      <c r="F706" s="13"/>
      <c r="G706" s="13"/>
      <c r="H706" s="13"/>
    </row>
    <row r="707" customFormat="false" ht="25.5" hidden="false" customHeight="true" outlineLevel="0" collapsed="false">
      <c r="A707" s="12" t="str">
        <f aca="false">"REFERENSI ASSEMBLY (bukan target upper): "&amp;TEXT('01 ADMIN_ORDER'!M20,"dd mmm yyyy")&amp;" - "&amp;TEXT('01 ADMIN_ORDER'!N20,"dd mmm yyyy")</f>
        <v>REFERENSI ASSEMBLY (bukan target upper): 15 Oct 2026 - 15 Oct 2026</v>
      </c>
      <c r="B707" s="12"/>
      <c r="C707" s="12"/>
      <c r="D707" s="12"/>
      <c r="E707" s="12"/>
      <c r="F707" s="12"/>
      <c r="G707" s="12"/>
      <c r="H707" s="12"/>
    </row>
    <row r="708" customFormat="false" ht="18" hidden="false" customHeight="true" outlineLevel="0" collapsed="false">
      <c r="A708" s="10" t="s">
        <v>257</v>
      </c>
      <c r="B708" s="10"/>
      <c r="C708" s="10"/>
      <c r="D708" s="13" t="str">
        <f aca="false">IF('04 KESIAPAN'!G20="","BELUM DIISI",'04 KESIAPAN'!G20)</f>
        <v>BELUM DIISI</v>
      </c>
      <c r="E708" s="13"/>
      <c r="F708" s="13"/>
      <c r="G708" s="13"/>
      <c r="H708" s="13"/>
    </row>
    <row r="709" customFormat="false" ht="18" hidden="false" customHeight="true" outlineLevel="0" collapsed="false">
      <c r="A709" s="10" t="s">
        <v>258</v>
      </c>
      <c r="B709" s="10"/>
      <c r="C709" s="10"/>
      <c r="D709" s="13" t="str">
        <f aca="false">IF('04 KESIAPAN'!H20="","BELUM DIISI",'04 KESIAPAN'!H20)</f>
        <v>BELUM DIISI</v>
      </c>
      <c r="E709" s="13"/>
      <c r="F709" s="13"/>
      <c r="G709" s="13"/>
      <c r="H709" s="13"/>
    </row>
    <row r="710" customFormat="false" ht="18" hidden="false" customHeight="true" outlineLevel="0" collapsed="false">
      <c r="A710" s="10" t="s">
        <v>259</v>
      </c>
      <c r="B710" s="10"/>
      <c r="C710" s="10"/>
      <c r="D710" s="13" t="str">
        <f aca="false">IF('04 KESIAPAN'!I20="","BELUM DIISI",'04 KESIAPAN'!I20)</f>
        <v>BELUM DIISI</v>
      </c>
      <c r="E710" s="13"/>
      <c r="F710" s="13"/>
      <c r="G710" s="13"/>
      <c r="H710" s="13"/>
    </row>
    <row r="711" customFormat="false" ht="18" hidden="false" customHeight="true" outlineLevel="0" collapsed="false">
      <c r="A711" s="10" t="s">
        <v>260</v>
      </c>
      <c r="B711" s="10"/>
      <c r="C711" s="10"/>
      <c r="D711" s="13" t="str">
        <f aca="false">IF('04 KESIAPAN'!K20="","BELUM DIISI",'04 KESIAPAN'!K20)</f>
        <v>BELUM DIISI</v>
      </c>
      <c r="E711" s="13"/>
      <c r="F711" s="13"/>
      <c r="G711" s="13"/>
      <c r="H711" s="13"/>
    </row>
    <row r="712" customFormat="false" ht="18" hidden="false" customHeight="true" outlineLevel="0" collapsed="false">
      <c r="A712" s="10" t="s">
        <v>261</v>
      </c>
      <c r="B712" s="10"/>
      <c r="C712" s="10"/>
      <c r="D712" s="13" t="str">
        <f aca="false">IF('04 KESIAPAN'!L20="","BELUM DIISI",'04 KESIAPAN'!L20)</f>
        <v>BELUM DIISI</v>
      </c>
      <c r="E712" s="13"/>
      <c r="F712" s="13"/>
      <c r="G712" s="13"/>
      <c r="H712" s="13"/>
    </row>
    <row r="713" customFormat="false" ht="18" hidden="false" customHeight="true" outlineLevel="0" collapsed="false">
      <c r="A713" s="10" t="s">
        <v>262</v>
      </c>
      <c r="B713" s="10"/>
      <c r="C713" s="10"/>
      <c r="D713" s="13" t="str">
        <f aca="false">IF('04 KESIAPAN'!N20="","BELUM DIISI",'04 KESIAPAN'!N20)</f>
        <v>BELUM DIISI</v>
      </c>
      <c r="E713" s="13"/>
      <c r="F713" s="13"/>
      <c r="G713" s="13"/>
      <c r="H713" s="13"/>
    </row>
    <row r="714" customFormat="false" ht="18" hidden="false" customHeight="true" outlineLevel="0" collapsed="false">
      <c r="A714" s="10" t="s">
        <v>263</v>
      </c>
      <c r="B714" s="10"/>
      <c r="C714" s="10"/>
      <c r="D714" s="13" t="str">
        <f aca="false">IF('04 KESIAPAN'!P20="","BELUM DIISI",'04 KESIAPAN'!P20)</f>
        <v>BELUM DIISI</v>
      </c>
      <c r="E714" s="13"/>
      <c r="F714" s="13"/>
      <c r="G714" s="13"/>
      <c r="H714" s="13"/>
    </row>
    <row r="715" customFormat="false" ht="18" hidden="false" customHeight="true" outlineLevel="0" collapsed="false">
      <c r="A715" s="7" t="s">
        <v>264</v>
      </c>
      <c r="B715" s="7"/>
      <c r="C715" s="7"/>
      <c r="D715" s="7"/>
      <c r="E715" s="7"/>
      <c r="F715" s="7"/>
      <c r="G715" s="7"/>
      <c r="H715" s="7"/>
    </row>
    <row r="716" customFormat="false" ht="18" hidden="false" customHeight="true" outlineLevel="0" collapsed="false">
      <c r="A716" s="13"/>
      <c r="B716" s="13"/>
      <c r="C716" s="13"/>
      <c r="D716" s="13"/>
      <c r="E716" s="13"/>
      <c r="F716" s="13"/>
      <c r="G716" s="13"/>
      <c r="H716" s="13"/>
    </row>
    <row r="717" customFormat="false" ht="18" hidden="false" customHeight="true" outlineLevel="0" collapsed="false">
      <c r="A717" s="13"/>
      <c r="B717" s="13"/>
      <c r="C717" s="13"/>
      <c r="D717" s="13"/>
      <c r="E717" s="13"/>
      <c r="F717" s="13"/>
      <c r="G717" s="13"/>
      <c r="H717" s="13"/>
    </row>
    <row r="718" customFormat="false" ht="18" hidden="false" customHeight="true" outlineLevel="0" collapsed="false">
      <c r="A718" s="13"/>
      <c r="B718" s="13"/>
      <c r="C718" s="13"/>
      <c r="D718" s="13"/>
      <c r="E718" s="13"/>
      <c r="F718" s="13"/>
      <c r="G718" s="13"/>
      <c r="H718" s="13"/>
    </row>
    <row r="719" customFormat="false" ht="18" hidden="false" customHeight="true" outlineLevel="0" collapsed="false">
      <c r="A719" s="12" t="s">
        <v>265</v>
      </c>
      <c r="B719" s="12"/>
      <c r="C719" s="12"/>
      <c r="D719" s="12"/>
      <c r="E719" s="12" t="s">
        <v>266</v>
      </c>
      <c r="F719" s="12"/>
      <c r="G719" s="12"/>
      <c r="H719" s="12"/>
    </row>
    <row r="720" customFormat="false" ht="18" hidden="false" customHeight="true" outlineLevel="0" collapsed="false">
      <c r="A720" s="12" t="s">
        <v>285</v>
      </c>
      <c r="B720" s="12"/>
      <c r="C720" s="12"/>
      <c r="D720" s="12"/>
      <c r="E720" s="12"/>
      <c r="F720" s="12"/>
      <c r="G720" s="12"/>
      <c r="H720" s="12"/>
    </row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25.5" hidden="false" customHeight="true" outlineLevel="0" collapsed="false">
      <c r="A723" s="7" t="s">
        <v>246</v>
      </c>
      <c r="B723" s="7"/>
      <c r="C723" s="7"/>
      <c r="D723" s="7"/>
      <c r="E723" s="7"/>
      <c r="F723" s="7"/>
      <c r="G723" s="7"/>
      <c r="H723" s="7"/>
    </row>
    <row r="724" customFormat="false" ht="18" hidden="false" customHeight="true" outlineLevel="0" collapsed="false">
      <c r="A724" s="8" t="str">
        <f aca="false">'01 ADMIN_ORDER'!R21</f>
        <v>DRAFT - PERLU VERIFIKASI</v>
      </c>
      <c r="B724" s="8"/>
      <c r="C724" s="8"/>
      <c r="D724" s="8"/>
      <c r="E724" s="8"/>
      <c r="F724" s="8"/>
      <c r="G724" s="8"/>
      <c r="H724" s="8"/>
    </row>
    <row r="725" customFormat="false" ht="18" hidden="false" customHeight="true" outlineLevel="0" collapsed="false">
      <c r="A725" s="9" t="s">
        <v>247</v>
      </c>
      <c r="B725" s="9"/>
      <c r="C725" s="9"/>
      <c r="D725" s="9"/>
      <c r="E725" s="9"/>
      <c r="F725" s="9"/>
      <c r="G725" s="9"/>
      <c r="H725" s="9"/>
    </row>
    <row r="726" customFormat="false" ht="18" hidden="false" customHeight="true" outlineLevel="0" collapsed="false">
      <c r="A726" s="10" t="s">
        <v>248</v>
      </c>
      <c r="B726" s="10"/>
      <c r="C726" s="11" t="str">
        <f aca="false">'01 ADMIN_ORDER'!A21</f>
        <v>156/10/20 (59)</v>
      </c>
      <c r="D726" s="11"/>
      <c r="E726" s="11"/>
      <c r="F726" s="11"/>
      <c r="G726" s="11"/>
      <c r="H726" s="11"/>
    </row>
    <row r="727" customFormat="false" ht="18" hidden="false" customHeight="true" outlineLevel="0" collapsed="false">
      <c r="A727" s="10" t="s">
        <v>249</v>
      </c>
      <c r="B727" s="10"/>
      <c r="C727" s="12" t="str">
        <f aca="false">'01 ADMIN_ORDER'!C21&amp;" / "&amp;'01 ADMIN_ORDER'!D21</f>
        <v>FRONTCOURT LOW / LA6604</v>
      </c>
      <c r="D727" s="12"/>
      <c r="E727" s="12"/>
      <c r="F727" s="12"/>
      <c r="G727" s="12"/>
      <c r="H727" s="12"/>
    </row>
    <row r="728" customFormat="false" ht="18" hidden="false" customHeight="true" outlineLevel="0" collapsed="false">
      <c r="A728" s="10" t="s">
        <v>250</v>
      </c>
      <c r="B728" s="10"/>
      <c r="C728" s="12" t="str">
        <f aca="false">'01 ADMIN_ORDER'!E21</f>
        <v>903416453</v>
      </c>
      <c r="D728" s="12"/>
      <c r="E728" s="12"/>
      <c r="F728" s="12"/>
      <c r="G728" s="12"/>
      <c r="H728" s="12"/>
    </row>
    <row r="729" customFormat="false" ht="27.75" hidden="false" customHeight="true" outlineLevel="0" collapsed="false">
      <c r="A729" s="10" t="s">
        <v>251</v>
      </c>
      <c r="B729" s="10"/>
      <c r="C729" s="12" t="str">
        <f aca="false">'01 ADMIN_ORDER'!H21</f>
        <v>CORE BLACK/FTWR WHITE/CORE BLACK</v>
      </c>
      <c r="D729" s="12"/>
      <c r="E729" s="12"/>
      <c r="F729" s="12"/>
      <c r="G729" s="12"/>
      <c r="H729" s="12"/>
    </row>
    <row r="730" customFormat="false" ht="18" hidden="false" customHeight="true" outlineLevel="0" collapsed="false">
      <c r="A730" s="10" t="s">
        <v>252</v>
      </c>
      <c r="B730" s="10"/>
      <c r="C730" s="12" t="str">
        <f aca="false">'01 ADMIN_ORDER'!B21&amp;" / "&amp;'01 ADMIN_ORDER'!G21</f>
        <v>A-19 / Turkey</v>
      </c>
      <c r="D730" s="12"/>
      <c r="E730" s="12"/>
      <c r="F730" s="12"/>
      <c r="G730" s="12"/>
      <c r="H730" s="12"/>
    </row>
    <row r="731" customFormat="false" ht="18" hidden="false" customHeight="true" outlineLevel="0" collapsed="false">
      <c r="A731" s="10" t="s">
        <v>253</v>
      </c>
      <c r="B731" s="10"/>
      <c r="C731" s="13" t="str">
        <f aca="false">'01 ADMIN_ORDER'!I21&amp;" / "&amp;IF('04 KESIAPAN'!B21="","UOM BELUM DIISI",'04 KESIAPAN'!B21)</f>
        <v>690 / UOM BELUM DIISI</v>
      </c>
      <c r="D731" s="13"/>
      <c r="E731" s="13"/>
      <c r="F731" s="13"/>
      <c r="G731" s="13"/>
      <c r="H731" s="13"/>
    </row>
    <row r="732" customFormat="false" ht="18" hidden="false" customHeight="true" outlineLevel="0" collapsed="false">
      <c r="A732" s="13" t="str">
        <f aca="false">IF('04 KESIAPAN'!C21="","SISTEM UKURAN BELUM DIISI",'04 KESIAPAN'!C21)&amp;" | Tanda -: "&amp;IF('04 KESIAPAN'!D21="","BELUM DIKONFIRMASI",'04 KESIAPAN'!D21)</f>
        <v>SISTEM UKURAN BELUM DIISI | Tanda -: BELUM DIKONFIRMASI</v>
      </c>
      <c r="B732" s="13"/>
      <c r="C732" s="13"/>
      <c r="D732" s="13"/>
      <c r="E732" s="13"/>
      <c r="F732" s="13"/>
      <c r="G732" s="13"/>
      <c r="H732" s="13"/>
    </row>
    <row r="733" customFormat="false" ht="18" hidden="false" customHeight="true" outlineLevel="0" collapsed="false">
      <c r="A733" s="7" t="s">
        <v>254</v>
      </c>
      <c r="B733" s="7"/>
      <c r="C733" s="7"/>
      <c r="D733" s="7"/>
      <c r="E733" s="7"/>
      <c r="F733" s="7"/>
      <c r="G733" s="7"/>
      <c r="H733" s="7"/>
    </row>
    <row r="734" customFormat="false" ht="18" hidden="false" customHeight="true" outlineLevel="0" collapsed="false">
      <c r="A734" s="14" t="s">
        <v>214</v>
      </c>
      <c r="B734" s="0" t="n">
        <f aca="false">'02 SIZE_RUN'!D21</f>
        <v>0</v>
      </c>
      <c r="C734" s="14" t="s">
        <v>215</v>
      </c>
      <c r="D734" s="0" t="n">
        <f aca="false">'02 SIZE_RUN'!E21</f>
        <v>0</v>
      </c>
      <c r="E734" s="14" t="s">
        <v>216</v>
      </c>
      <c r="F734" s="0" t="n">
        <f aca="false">'02 SIZE_RUN'!F21</f>
        <v>0</v>
      </c>
      <c r="G734" s="14" t="s">
        <v>217</v>
      </c>
      <c r="H734" s="0" t="n">
        <f aca="false">'02 SIZE_RUN'!G21</f>
        <v>0</v>
      </c>
    </row>
    <row r="735" customFormat="false" ht="18" hidden="false" customHeight="true" outlineLevel="0" collapsed="false">
      <c r="A735" s="14" t="s">
        <v>218</v>
      </c>
      <c r="B735" s="0" t="n">
        <f aca="false">'02 SIZE_RUN'!H21</f>
        <v>0</v>
      </c>
      <c r="C735" s="14" t="s">
        <v>219</v>
      </c>
      <c r="D735" s="0" t="n">
        <f aca="false">'02 SIZE_RUN'!I21</f>
        <v>0</v>
      </c>
      <c r="E735" s="14" t="s">
        <v>220</v>
      </c>
      <c r="F735" s="0" t="n">
        <f aca="false">'02 SIZE_RUN'!J21</f>
        <v>23</v>
      </c>
      <c r="G735" s="14" t="s">
        <v>221</v>
      </c>
      <c r="H735" s="0" t="n">
        <f aca="false">'02 SIZE_RUN'!K21</f>
        <v>82</v>
      </c>
    </row>
    <row r="736" customFormat="false" ht="18" hidden="false" customHeight="true" outlineLevel="0" collapsed="false">
      <c r="A736" s="14" t="s">
        <v>222</v>
      </c>
      <c r="B736" s="0" t="n">
        <f aca="false">'02 SIZE_RUN'!L21</f>
        <v>26</v>
      </c>
      <c r="C736" s="14" t="s">
        <v>223</v>
      </c>
      <c r="D736" s="0" t="n">
        <f aca="false">'02 SIZE_RUN'!M21</f>
        <v>101</v>
      </c>
      <c r="E736" s="14" t="s">
        <v>224</v>
      </c>
      <c r="F736" s="0" t="n">
        <f aca="false">'02 SIZE_RUN'!N21</f>
        <v>191</v>
      </c>
      <c r="G736" s="14" t="s">
        <v>225</v>
      </c>
      <c r="H736" s="0" t="n">
        <f aca="false">'02 SIZE_RUN'!O21</f>
        <v>73</v>
      </c>
    </row>
    <row r="737" customFormat="false" ht="18" hidden="false" customHeight="true" outlineLevel="0" collapsed="false">
      <c r="A737" s="14" t="s">
        <v>226</v>
      </c>
      <c r="B737" s="0" t="n">
        <f aca="false">'02 SIZE_RUN'!P21</f>
        <v>48</v>
      </c>
      <c r="C737" s="14" t="s">
        <v>227</v>
      </c>
      <c r="D737" s="0" t="n">
        <f aca="false">'02 SIZE_RUN'!Q21</f>
        <v>96</v>
      </c>
      <c r="E737" s="14" t="s">
        <v>228</v>
      </c>
      <c r="F737" s="0" t="n">
        <f aca="false">'02 SIZE_RUN'!R21</f>
        <v>24</v>
      </c>
      <c r="G737" s="14" t="s">
        <v>229</v>
      </c>
      <c r="H737" s="0" t="n">
        <f aca="false">'02 SIZE_RUN'!S21</f>
        <v>8</v>
      </c>
    </row>
    <row r="738" customFormat="false" ht="18" hidden="false" customHeight="true" outlineLevel="0" collapsed="false">
      <c r="A738" s="14" t="s">
        <v>230</v>
      </c>
      <c r="B738" s="0" t="n">
        <f aca="false">'02 SIZE_RUN'!T21</f>
        <v>17</v>
      </c>
      <c r="C738" s="14" t="s">
        <v>231</v>
      </c>
      <c r="D738" s="0" t="n">
        <f aca="false">'02 SIZE_RUN'!U21</f>
        <v>1</v>
      </c>
      <c r="E738" s="14" t="s">
        <v>232</v>
      </c>
      <c r="F738" s="0" t="n">
        <f aca="false">'02 SIZE_RUN'!V21</f>
        <v>0</v>
      </c>
      <c r="G738" s="14" t="s">
        <v>233</v>
      </c>
      <c r="H738" s="0" t="n">
        <f aca="false">'02 SIZE_RUN'!W21</f>
        <v>0</v>
      </c>
    </row>
    <row r="739" customFormat="false" ht="18" hidden="false" customHeight="true" outlineLevel="0" collapsed="false">
      <c r="A739" s="14" t="s">
        <v>234</v>
      </c>
      <c r="B739" s="0" t="n">
        <f aca="false">'02 SIZE_RUN'!X21</f>
        <v>0</v>
      </c>
      <c r="C739" s="14" t="s">
        <v>235</v>
      </c>
      <c r="D739" s="0" t="n">
        <f aca="false">'02 SIZE_RUN'!Y21</f>
        <v>0</v>
      </c>
      <c r="E739" s="14" t="s">
        <v>236</v>
      </c>
      <c r="F739" s="0" t="n">
        <f aca="false">'02 SIZE_RUN'!Z21</f>
        <v>0</v>
      </c>
      <c r="G739" s="14" t="s">
        <v>237</v>
      </c>
      <c r="H739" s="0" t="n">
        <f aca="false">'02 SIZE_RUN'!AA21</f>
        <v>0</v>
      </c>
    </row>
    <row r="740" customFormat="false" ht="18" hidden="false" customHeight="true" outlineLevel="0" collapsed="false">
      <c r="A740" s="14" t="s">
        <v>238</v>
      </c>
      <c r="B740" s="0" t="n">
        <f aca="false">'02 SIZE_RUN'!AB21</f>
        <v>0</v>
      </c>
      <c r="C740" s="14" t="s">
        <v>239</v>
      </c>
      <c r="D740" s="0" t="n">
        <f aca="false">'02 SIZE_RUN'!AC21</f>
        <v>0</v>
      </c>
      <c r="E740" s="14" t="s">
        <v>240</v>
      </c>
      <c r="F740" s="0" t="n">
        <f aca="false">'02 SIZE_RUN'!AD21</f>
        <v>0</v>
      </c>
      <c r="G740" s="14" t="s">
        <v>241</v>
      </c>
      <c r="H740" s="0" t="n">
        <f aca="false">'02 SIZE_RUN'!AE21</f>
        <v>0</v>
      </c>
    </row>
    <row r="741" customFormat="false" ht="18" hidden="false" customHeight="true" outlineLevel="0" collapsed="false">
      <c r="A741" s="14" t="s">
        <v>242</v>
      </c>
      <c r="B741" s="0" t="n">
        <f aca="false">'02 SIZE_RUN'!AF21</f>
        <v>0</v>
      </c>
    </row>
    <row r="742" customFormat="false" ht="18" hidden="false" customHeight="true" outlineLevel="0" collapsed="false">
      <c r="A742" s="10" t="str">
        <f aca="false">"TOTAL SIZE: "&amp;'02 SIZE_RUN'!AG21&amp;" | SELISIH: "&amp;'02 SIZE_RUN'!AH21</f>
        <v>TOTAL SIZE: 690 | SELISIH: 0</v>
      </c>
      <c r="B742" s="10"/>
      <c r="C742" s="10"/>
      <c r="D742" s="10"/>
      <c r="E742" s="10"/>
      <c r="F742" s="10"/>
      <c r="G742" s="10"/>
      <c r="H742" s="10"/>
    </row>
    <row r="743" customFormat="false" ht="18" hidden="false" customHeight="true" outlineLevel="0" collapsed="false">
      <c r="A743" s="10" t="s">
        <v>255</v>
      </c>
      <c r="B743" s="10"/>
      <c r="C743" s="10"/>
      <c r="D743" s="13" t="str">
        <f aca="false">IF('01 ADMIN_ORDER'!P21="","BELUM DITETAPKAN",TEXT('01 ADMIN_ORDER'!P21,"dd mmm yyyy"))</f>
        <v>BELUM DITETAPKAN</v>
      </c>
      <c r="E743" s="13"/>
      <c r="F743" s="13"/>
      <c r="G743" s="13"/>
      <c r="H743" s="13"/>
    </row>
    <row r="744" customFormat="false" ht="18" hidden="false" customHeight="true" outlineLevel="0" collapsed="false">
      <c r="A744" s="10" t="s">
        <v>256</v>
      </c>
      <c r="B744" s="10"/>
      <c r="C744" s="10"/>
      <c r="D744" s="13" t="str">
        <f aca="false">IF('01 ADMIN_ORDER'!Q21="","BELUM DITETAPKAN",TEXT('01 ADMIN_ORDER'!Q21,"dd mmm yyyy"))</f>
        <v>BELUM DITETAPKAN</v>
      </c>
      <c r="E744" s="13"/>
      <c r="F744" s="13"/>
      <c r="G744" s="13"/>
      <c r="H744" s="13"/>
    </row>
    <row r="745" customFormat="false" ht="25.5" hidden="false" customHeight="true" outlineLevel="0" collapsed="false">
      <c r="A745" s="12" t="str">
        <f aca="false">"REFERENSI ASSEMBLY (bukan target upper): "&amp;TEXT('01 ADMIN_ORDER'!M21,"dd mmm yyyy")&amp;" - "&amp;TEXT('01 ADMIN_ORDER'!N21,"dd mmm yyyy")</f>
        <v>REFERENSI ASSEMBLY (bukan target upper): 08 Oct 2026 - 09 Oct 2026</v>
      </c>
      <c r="B745" s="12"/>
      <c r="C745" s="12"/>
      <c r="D745" s="12"/>
      <c r="E745" s="12"/>
      <c r="F745" s="12"/>
      <c r="G745" s="12"/>
      <c r="H745" s="12"/>
    </row>
    <row r="746" customFormat="false" ht="18" hidden="false" customHeight="true" outlineLevel="0" collapsed="false">
      <c r="A746" s="10" t="s">
        <v>257</v>
      </c>
      <c r="B746" s="10"/>
      <c r="C746" s="10"/>
      <c r="D746" s="13" t="str">
        <f aca="false">IF('04 KESIAPAN'!G21="","BELUM DIISI",'04 KESIAPAN'!G21)</f>
        <v>BELUM DIISI</v>
      </c>
      <c r="E746" s="13"/>
      <c r="F746" s="13"/>
      <c r="G746" s="13"/>
      <c r="H746" s="13"/>
    </row>
    <row r="747" customFormat="false" ht="18" hidden="false" customHeight="true" outlineLevel="0" collapsed="false">
      <c r="A747" s="10" t="s">
        <v>258</v>
      </c>
      <c r="B747" s="10"/>
      <c r="C747" s="10"/>
      <c r="D747" s="13" t="str">
        <f aca="false">IF('04 KESIAPAN'!H21="","BELUM DIISI",'04 KESIAPAN'!H21)</f>
        <v>BELUM DIISI</v>
      </c>
      <c r="E747" s="13"/>
      <c r="F747" s="13"/>
      <c r="G747" s="13"/>
      <c r="H747" s="13"/>
    </row>
    <row r="748" customFormat="false" ht="18" hidden="false" customHeight="true" outlineLevel="0" collapsed="false">
      <c r="A748" s="10" t="s">
        <v>259</v>
      </c>
      <c r="B748" s="10"/>
      <c r="C748" s="10"/>
      <c r="D748" s="13" t="str">
        <f aca="false">IF('04 KESIAPAN'!I21="","BELUM DIISI",'04 KESIAPAN'!I21)</f>
        <v>BELUM DIISI</v>
      </c>
      <c r="E748" s="13"/>
      <c r="F748" s="13"/>
      <c r="G748" s="13"/>
      <c r="H748" s="13"/>
    </row>
    <row r="749" customFormat="false" ht="18" hidden="false" customHeight="true" outlineLevel="0" collapsed="false">
      <c r="A749" s="10" t="s">
        <v>260</v>
      </c>
      <c r="B749" s="10"/>
      <c r="C749" s="10"/>
      <c r="D749" s="13" t="str">
        <f aca="false">IF('04 KESIAPAN'!K21="","BELUM DIISI",'04 KESIAPAN'!K21)</f>
        <v>BELUM DIISI</v>
      </c>
      <c r="E749" s="13"/>
      <c r="F749" s="13"/>
      <c r="G749" s="13"/>
      <c r="H749" s="13"/>
    </row>
    <row r="750" customFormat="false" ht="18" hidden="false" customHeight="true" outlineLevel="0" collapsed="false">
      <c r="A750" s="10" t="s">
        <v>261</v>
      </c>
      <c r="B750" s="10"/>
      <c r="C750" s="10"/>
      <c r="D750" s="13" t="str">
        <f aca="false">IF('04 KESIAPAN'!L21="","BELUM DIISI",'04 KESIAPAN'!L21)</f>
        <v>BELUM DIISI</v>
      </c>
      <c r="E750" s="13"/>
      <c r="F750" s="13"/>
      <c r="G750" s="13"/>
      <c r="H750" s="13"/>
    </row>
    <row r="751" customFormat="false" ht="18" hidden="false" customHeight="true" outlineLevel="0" collapsed="false">
      <c r="A751" s="10" t="s">
        <v>262</v>
      </c>
      <c r="B751" s="10"/>
      <c r="C751" s="10"/>
      <c r="D751" s="13" t="str">
        <f aca="false">IF('04 KESIAPAN'!N21="","BELUM DIISI",'04 KESIAPAN'!N21)</f>
        <v>BELUM DIISI</v>
      </c>
      <c r="E751" s="13"/>
      <c r="F751" s="13"/>
      <c r="G751" s="13"/>
      <c r="H751" s="13"/>
    </row>
    <row r="752" customFormat="false" ht="18" hidden="false" customHeight="true" outlineLevel="0" collapsed="false">
      <c r="A752" s="10" t="s">
        <v>263</v>
      </c>
      <c r="B752" s="10"/>
      <c r="C752" s="10"/>
      <c r="D752" s="13" t="str">
        <f aca="false">IF('04 KESIAPAN'!P21="","BELUM DIISI",'04 KESIAPAN'!P21)</f>
        <v>BELUM DIISI</v>
      </c>
      <c r="E752" s="13"/>
      <c r="F752" s="13"/>
      <c r="G752" s="13"/>
      <c r="H752" s="13"/>
    </row>
    <row r="753" customFormat="false" ht="18" hidden="false" customHeight="true" outlineLevel="0" collapsed="false">
      <c r="A753" s="7" t="s">
        <v>264</v>
      </c>
      <c r="B753" s="7"/>
      <c r="C753" s="7"/>
      <c r="D753" s="7"/>
      <c r="E753" s="7"/>
      <c r="F753" s="7"/>
      <c r="G753" s="7"/>
      <c r="H753" s="7"/>
    </row>
    <row r="754" customFormat="false" ht="18" hidden="false" customHeight="true" outlineLevel="0" collapsed="false">
      <c r="A754" s="13"/>
      <c r="B754" s="13"/>
      <c r="C754" s="13"/>
      <c r="D754" s="13"/>
      <c r="E754" s="13"/>
      <c r="F754" s="13"/>
      <c r="G754" s="13"/>
      <c r="H754" s="13"/>
    </row>
    <row r="755" customFormat="false" ht="18" hidden="false" customHeight="true" outlineLevel="0" collapsed="false">
      <c r="A755" s="13"/>
      <c r="B755" s="13"/>
      <c r="C755" s="13"/>
      <c r="D755" s="13"/>
      <c r="E755" s="13"/>
      <c r="F755" s="13"/>
      <c r="G755" s="13"/>
      <c r="H755" s="13"/>
    </row>
    <row r="756" customFormat="false" ht="18" hidden="false" customHeight="true" outlineLevel="0" collapsed="false">
      <c r="A756" s="13"/>
      <c r="B756" s="13"/>
      <c r="C756" s="13"/>
      <c r="D756" s="13"/>
      <c r="E756" s="13"/>
      <c r="F756" s="13"/>
      <c r="G756" s="13"/>
      <c r="H756" s="13"/>
    </row>
    <row r="757" customFormat="false" ht="18" hidden="false" customHeight="true" outlineLevel="0" collapsed="false">
      <c r="A757" s="12" t="s">
        <v>265</v>
      </c>
      <c r="B757" s="12"/>
      <c r="C757" s="12"/>
      <c r="D757" s="12"/>
      <c r="E757" s="12" t="s">
        <v>266</v>
      </c>
      <c r="F757" s="12"/>
      <c r="G757" s="12"/>
      <c r="H757" s="12"/>
    </row>
    <row r="758" customFormat="false" ht="18" hidden="false" customHeight="true" outlineLevel="0" collapsed="false">
      <c r="A758" s="12" t="s">
        <v>286</v>
      </c>
      <c r="B758" s="12"/>
      <c r="C758" s="12"/>
      <c r="D758" s="12"/>
      <c r="E758" s="12"/>
      <c r="F758" s="12"/>
      <c r="G758" s="12"/>
      <c r="H758" s="12"/>
    </row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25.5" hidden="false" customHeight="true" outlineLevel="0" collapsed="false">
      <c r="A761" s="7" t="s">
        <v>246</v>
      </c>
      <c r="B761" s="7"/>
      <c r="C761" s="7"/>
      <c r="D761" s="7"/>
      <c r="E761" s="7"/>
      <c r="F761" s="7"/>
      <c r="G761" s="7"/>
      <c r="H761" s="7"/>
    </row>
    <row r="762" customFormat="false" ht="18" hidden="false" customHeight="true" outlineLevel="0" collapsed="false">
      <c r="A762" s="8" t="str">
        <f aca="false">'01 ADMIN_ORDER'!R22</f>
        <v>DRAFT - PERLU VERIFIKASI</v>
      </c>
      <c r="B762" s="8"/>
      <c r="C762" s="8"/>
      <c r="D762" s="8"/>
      <c r="E762" s="8"/>
      <c r="F762" s="8"/>
      <c r="G762" s="8"/>
      <c r="H762" s="8"/>
    </row>
    <row r="763" customFormat="false" ht="18" hidden="false" customHeight="true" outlineLevel="0" collapsed="false">
      <c r="A763" s="9" t="s">
        <v>247</v>
      </c>
      <c r="B763" s="9"/>
      <c r="C763" s="9"/>
      <c r="D763" s="9"/>
      <c r="E763" s="9"/>
      <c r="F763" s="9"/>
      <c r="G763" s="9"/>
      <c r="H763" s="9"/>
    </row>
    <row r="764" customFormat="false" ht="18" hidden="false" customHeight="true" outlineLevel="0" collapsed="false">
      <c r="A764" s="10" t="s">
        <v>248</v>
      </c>
      <c r="B764" s="10"/>
      <c r="C764" s="11" t="str">
        <f aca="false">'01 ADMIN_ORDER'!A22</f>
        <v>157/10/21 (59)</v>
      </c>
      <c r="D764" s="11"/>
      <c r="E764" s="11"/>
      <c r="F764" s="11"/>
      <c r="G764" s="11"/>
      <c r="H764" s="11"/>
    </row>
    <row r="765" customFormat="false" ht="18" hidden="false" customHeight="true" outlineLevel="0" collapsed="false">
      <c r="A765" s="10" t="s">
        <v>249</v>
      </c>
      <c r="B765" s="10"/>
      <c r="C765" s="12" t="str">
        <f aca="false">'01 ADMIN_ORDER'!C22&amp;" / "&amp;'01 ADMIN_ORDER'!D22</f>
        <v>FRONTCOURT LOW / LA6604</v>
      </c>
      <c r="D765" s="12"/>
      <c r="E765" s="12"/>
      <c r="F765" s="12"/>
      <c r="G765" s="12"/>
      <c r="H765" s="12"/>
    </row>
    <row r="766" customFormat="false" ht="18" hidden="false" customHeight="true" outlineLevel="0" collapsed="false">
      <c r="A766" s="10" t="s">
        <v>250</v>
      </c>
      <c r="B766" s="10"/>
      <c r="C766" s="12" t="str">
        <f aca="false">'01 ADMIN_ORDER'!E22</f>
        <v>903418964</v>
      </c>
      <c r="D766" s="12"/>
      <c r="E766" s="12"/>
      <c r="F766" s="12"/>
      <c r="G766" s="12"/>
      <c r="H766" s="12"/>
    </row>
    <row r="767" customFormat="false" ht="27.75" hidden="false" customHeight="true" outlineLevel="0" collapsed="false">
      <c r="A767" s="10" t="s">
        <v>251</v>
      </c>
      <c r="B767" s="10"/>
      <c r="C767" s="12" t="str">
        <f aca="false">'01 ADMIN_ORDER'!H22</f>
        <v>CORE BLACK/FTWR WHITE/CORE BLACK</v>
      </c>
      <c r="D767" s="12"/>
      <c r="E767" s="12"/>
      <c r="F767" s="12"/>
      <c r="G767" s="12"/>
      <c r="H767" s="12"/>
    </row>
    <row r="768" customFormat="false" ht="18" hidden="false" customHeight="true" outlineLevel="0" collapsed="false">
      <c r="A768" s="10" t="s">
        <v>252</v>
      </c>
      <c r="B768" s="10"/>
      <c r="C768" s="12" t="str">
        <f aca="false">'01 ADMIN_ORDER'!B22&amp;" / "&amp;'01 ADMIN_ORDER'!G22</f>
        <v>A-19 / Turkey</v>
      </c>
      <c r="D768" s="12"/>
      <c r="E768" s="12"/>
      <c r="F768" s="12"/>
      <c r="G768" s="12"/>
      <c r="H768" s="12"/>
    </row>
    <row r="769" customFormat="false" ht="18" hidden="false" customHeight="true" outlineLevel="0" collapsed="false">
      <c r="A769" s="10" t="s">
        <v>253</v>
      </c>
      <c r="B769" s="10"/>
      <c r="C769" s="13" t="str">
        <f aca="false">'01 ADMIN_ORDER'!I22&amp;" / "&amp;IF('04 KESIAPAN'!B22="","UOM BELUM DIISI",'04 KESIAPAN'!B22)</f>
        <v>1794 / UOM BELUM DIISI</v>
      </c>
      <c r="D769" s="13"/>
      <c r="E769" s="13"/>
      <c r="F769" s="13"/>
      <c r="G769" s="13"/>
      <c r="H769" s="13"/>
    </row>
    <row r="770" customFormat="false" ht="18" hidden="false" customHeight="true" outlineLevel="0" collapsed="false">
      <c r="A770" s="13" t="str">
        <f aca="false">IF('04 KESIAPAN'!C22="","SISTEM UKURAN BELUM DIISI",'04 KESIAPAN'!C22)&amp;" | Tanda -: "&amp;IF('04 KESIAPAN'!D22="","BELUM DIKONFIRMASI",'04 KESIAPAN'!D22)</f>
        <v>SISTEM UKURAN BELUM DIISI | Tanda -: BELUM DIKONFIRMASI</v>
      </c>
      <c r="B770" s="13"/>
      <c r="C770" s="13"/>
      <c r="D770" s="13"/>
      <c r="E770" s="13"/>
      <c r="F770" s="13"/>
      <c r="G770" s="13"/>
      <c r="H770" s="13"/>
    </row>
    <row r="771" customFormat="false" ht="18" hidden="false" customHeight="true" outlineLevel="0" collapsed="false">
      <c r="A771" s="7" t="s">
        <v>254</v>
      </c>
      <c r="B771" s="7"/>
      <c r="C771" s="7"/>
      <c r="D771" s="7"/>
      <c r="E771" s="7"/>
      <c r="F771" s="7"/>
      <c r="G771" s="7"/>
      <c r="H771" s="7"/>
    </row>
    <row r="772" customFormat="false" ht="18" hidden="false" customHeight="true" outlineLevel="0" collapsed="false">
      <c r="A772" s="14" t="s">
        <v>214</v>
      </c>
      <c r="B772" s="0" t="n">
        <f aca="false">'02 SIZE_RUN'!D22</f>
        <v>0</v>
      </c>
      <c r="C772" s="14" t="s">
        <v>215</v>
      </c>
      <c r="D772" s="0" t="n">
        <f aca="false">'02 SIZE_RUN'!E22</f>
        <v>2</v>
      </c>
      <c r="E772" s="14" t="s">
        <v>216</v>
      </c>
      <c r="F772" s="0" t="n">
        <f aca="false">'02 SIZE_RUN'!F22</f>
        <v>2</v>
      </c>
      <c r="G772" s="14" t="s">
        <v>217</v>
      </c>
      <c r="H772" s="0" t="n">
        <f aca="false">'02 SIZE_RUN'!G22</f>
        <v>4</v>
      </c>
    </row>
    <row r="773" customFormat="false" ht="18" hidden="false" customHeight="true" outlineLevel="0" collapsed="false">
      <c r="A773" s="14" t="s">
        <v>218</v>
      </c>
      <c r="B773" s="0" t="n">
        <f aca="false">'02 SIZE_RUN'!H22</f>
        <v>4</v>
      </c>
      <c r="C773" s="14" t="s">
        <v>219</v>
      </c>
      <c r="D773" s="0" t="n">
        <f aca="false">'02 SIZE_RUN'!I22</f>
        <v>4</v>
      </c>
      <c r="E773" s="14" t="s">
        <v>220</v>
      </c>
      <c r="F773" s="0" t="n">
        <f aca="false">'02 SIZE_RUN'!J22</f>
        <v>16</v>
      </c>
      <c r="G773" s="14" t="s">
        <v>221</v>
      </c>
      <c r="H773" s="0" t="n">
        <f aca="false">'02 SIZE_RUN'!K22</f>
        <v>70</v>
      </c>
    </row>
    <row r="774" customFormat="false" ht="18" hidden="false" customHeight="true" outlineLevel="0" collapsed="false">
      <c r="A774" s="14" t="s">
        <v>222</v>
      </c>
      <c r="B774" s="0" t="n">
        <f aca="false">'02 SIZE_RUN'!L22</f>
        <v>104</v>
      </c>
      <c r="C774" s="14" t="s">
        <v>223</v>
      </c>
      <c r="D774" s="0" t="n">
        <f aca="false">'02 SIZE_RUN'!M22</f>
        <v>257</v>
      </c>
      <c r="E774" s="14" t="s">
        <v>224</v>
      </c>
      <c r="F774" s="0" t="n">
        <f aca="false">'02 SIZE_RUN'!N22</f>
        <v>303</v>
      </c>
      <c r="G774" s="14" t="s">
        <v>225</v>
      </c>
      <c r="H774" s="0" t="n">
        <f aca="false">'02 SIZE_RUN'!O22</f>
        <v>285</v>
      </c>
    </row>
    <row r="775" customFormat="false" ht="18" hidden="false" customHeight="true" outlineLevel="0" collapsed="false">
      <c r="A775" s="14" t="s">
        <v>226</v>
      </c>
      <c r="B775" s="0" t="n">
        <f aca="false">'02 SIZE_RUN'!P22</f>
        <v>285</v>
      </c>
      <c r="C775" s="14" t="s">
        <v>227</v>
      </c>
      <c r="D775" s="0" t="n">
        <f aca="false">'02 SIZE_RUN'!Q22</f>
        <v>163</v>
      </c>
      <c r="E775" s="14" t="s">
        <v>228</v>
      </c>
      <c r="F775" s="0" t="n">
        <f aca="false">'02 SIZE_RUN'!R22</f>
        <v>111</v>
      </c>
      <c r="G775" s="14" t="s">
        <v>229</v>
      </c>
      <c r="H775" s="0" t="n">
        <f aca="false">'02 SIZE_RUN'!S22</f>
        <v>103</v>
      </c>
    </row>
    <row r="776" customFormat="false" ht="18" hidden="false" customHeight="true" outlineLevel="0" collapsed="false">
      <c r="A776" s="14" t="s">
        <v>230</v>
      </c>
      <c r="B776" s="0" t="n">
        <f aca="false">'02 SIZE_RUN'!T22</f>
        <v>32</v>
      </c>
      <c r="C776" s="14" t="s">
        <v>231</v>
      </c>
      <c r="D776" s="0" t="n">
        <f aca="false">'02 SIZE_RUN'!U22</f>
        <v>16</v>
      </c>
      <c r="E776" s="14" t="s">
        <v>232</v>
      </c>
      <c r="F776" s="0" t="n">
        <f aca="false">'02 SIZE_RUN'!V22</f>
        <v>18</v>
      </c>
      <c r="G776" s="14" t="s">
        <v>233</v>
      </c>
      <c r="H776" s="0" t="n">
        <f aca="false">'02 SIZE_RUN'!W22</f>
        <v>10</v>
      </c>
    </row>
    <row r="777" customFormat="false" ht="18" hidden="false" customHeight="true" outlineLevel="0" collapsed="false">
      <c r="A777" s="14" t="s">
        <v>234</v>
      </c>
      <c r="B777" s="0" t="n">
        <f aca="false">'02 SIZE_RUN'!X22</f>
        <v>0</v>
      </c>
      <c r="C777" s="14" t="s">
        <v>235</v>
      </c>
      <c r="D777" s="0" t="n">
        <f aca="false">'02 SIZE_RUN'!Y22</f>
        <v>5</v>
      </c>
      <c r="E777" s="14" t="s">
        <v>236</v>
      </c>
      <c r="F777" s="0" t="n">
        <f aca="false">'02 SIZE_RUN'!Z22</f>
        <v>0</v>
      </c>
      <c r="G777" s="14" t="s">
        <v>237</v>
      </c>
      <c r="H777" s="0" t="n">
        <f aca="false">'02 SIZE_RUN'!AA22</f>
        <v>0</v>
      </c>
    </row>
    <row r="778" customFormat="false" ht="18" hidden="false" customHeight="true" outlineLevel="0" collapsed="false">
      <c r="A778" s="14" t="s">
        <v>238</v>
      </c>
      <c r="B778" s="0" t="n">
        <f aca="false">'02 SIZE_RUN'!AB22</f>
        <v>0</v>
      </c>
      <c r="C778" s="14" t="s">
        <v>239</v>
      </c>
      <c r="D778" s="0" t="n">
        <f aca="false">'02 SIZE_RUN'!AC22</f>
        <v>0</v>
      </c>
      <c r="E778" s="14" t="s">
        <v>240</v>
      </c>
      <c r="F778" s="0" t="n">
        <f aca="false">'02 SIZE_RUN'!AD22</f>
        <v>0</v>
      </c>
      <c r="G778" s="14" t="s">
        <v>241</v>
      </c>
      <c r="H778" s="0" t="n">
        <f aca="false">'02 SIZE_RUN'!AE22</f>
        <v>0</v>
      </c>
    </row>
    <row r="779" customFormat="false" ht="18" hidden="false" customHeight="true" outlineLevel="0" collapsed="false">
      <c r="A779" s="14" t="s">
        <v>242</v>
      </c>
      <c r="B779" s="0" t="n">
        <f aca="false">'02 SIZE_RUN'!AF22</f>
        <v>0</v>
      </c>
    </row>
    <row r="780" customFormat="false" ht="18" hidden="false" customHeight="true" outlineLevel="0" collapsed="false">
      <c r="A780" s="10" t="str">
        <f aca="false">"TOTAL SIZE: "&amp;'02 SIZE_RUN'!AG22&amp;" | SELISIH: "&amp;'02 SIZE_RUN'!AH22</f>
        <v>TOTAL SIZE: 1794 | SELISIH: 0</v>
      </c>
      <c r="B780" s="10"/>
      <c r="C780" s="10"/>
      <c r="D780" s="10"/>
      <c r="E780" s="10"/>
      <c r="F780" s="10"/>
      <c r="G780" s="10"/>
      <c r="H780" s="10"/>
    </row>
    <row r="781" customFormat="false" ht="18" hidden="false" customHeight="true" outlineLevel="0" collapsed="false">
      <c r="A781" s="10" t="s">
        <v>255</v>
      </c>
      <c r="B781" s="10"/>
      <c r="C781" s="10"/>
      <c r="D781" s="13" t="str">
        <f aca="false">IF('01 ADMIN_ORDER'!P22="","BELUM DITETAPKAN",TEXT('01 ADMIN_ORDER'!P22,"dd mmm yyyy"))</f>
        <v>BELUM DITETAPKAN</v>
      </c>
      <c r="E781" s="13"/>
      <c r="F781" s="13"/>
      <c r="G781" s="13"/>
      <c r="H781" s="13"/>
    </row>
    <row r="782" customFormat="false" ht="18" hidden="false" customHeight="true" outlineLevel="0" collapsed="false">
      <c r="A782" s="10" t="s">
        <v>256</v>
      </c>
      <c r="B782" s="10"/>
      <c r="C782" s="10"/>
      <c r="D782" s="13" t="str">
        <f aca="false">IF('01 ADMIN_ORDER'!Q22="","BELUM DITETAPKAN",TEXT('01 ADMIN_ORDER'!Q22,"dd mmm yyyy"))</f>
        <v>BELUM DITETAPKAN</v>
      </c>
      <c r="E782" s="13"/>
      <c r="F782" s="13"/>
      <c r="G782" s="13"/>
      <c r="H782" s="13"/>
    </row>
    <row r="783" customFormat="false" ht="25.5" hidden="false" customHeight="true" outlineLevel="0" collapsed="false">
      <c r="A783" s="12" t="str">
        <f aca="false">"REFERENSI ASSEMBLY (bukan target upper): "&amp;TEXT('01 ADMIN_ORDER'!M22,"dd mmm yyyy")&amp;" - "&amp;TEXT('01 ADMIN_ORDER'!N22,"dd mmm yyyy")</f>
        <v>REFERENSI ASSEMBLY (bukan target upper): 09 Oct 2026 - 13 Oct 2026</v>
      </c>
      <c r="B783" s="12"/>
      <c r="C783" s="12"/>
      <c r="D783" s="12"/>
      <c r="E783" s="12"/>
      <c r="F783" s="12"/>
      <c r="G783" s="12"/>
      <c r="H783" s="12"/>
    </row>
    <row r="784" customFormat="false" ht="18" hidden="false" customHeight="true" outlineLevel="0" collapsed="false">
      <c r="A784" s="10" t="s">
        <v>257</v>
      </c>
      <c r="B784" s="10"/>
      <c r="C784" s="10"/>
      <c r="D784" s="13" t="str">
        <f aca="false">IF('04 KESIAPAN'!G22="","BELUM DIISI",'04 KESIAPAN'!G22)</f>
        <v>BELUM DIISI</v>
      </c>
      <c r="E784" s="13"/>
      <c r="F784" s="13"/>
      <c r="G784" s="13"/>
      <c r="H784" s="13"/>
    </row>
    <row r="785" customFormat="false" ht="18" hidden="false" customHeight="true" outlineLevel="0" collapsed="false">
      <c r="A785" s="10" t="s">
        <v>258</v>
      </c>
      <c r="B785" s="10"/>
      <c r="C785" s="10"/>
      <c r="D785" s="13" t="str">
        <f aca="false">IF('04 KESIAPAN'!H22="","BELUM DIISI",'04 KESIAPAN'!H22)</f>
        <v>BELUM DIISI</v>
      </c>
      <c r="E785" s="13"/>
      <c r="F785" s="13"/>
      <c r="G785" s="13"/>
      <c r="H785" s="13"/>
    </row>
    <row r="786" customFormat="false" ht="18" hidden="false" customHeight="true" outlineLevel="0" collapsed="false">
      <c r="A786" s="10" t="s">
        <v>259</v>
      </c>
      <c r="B786" s="10"/>
      <c r="C786" s="10"/>
      <c r="D786" s="13" t="str">
        <f aca="false">IF('04 KESIAPAN'!I22="","BELUM DIISI",'04 KESIAPAN'!I22)</f>
        <v>BELUM DIISI</v>
      </c>
      <c r="E786" s="13"/>
      <c r="F786" s="13"/>
      <c r="G786" s="13"/>
      <c r="H786" s="13"/>
    </row>
    <row r="787" customFormat="false" ht="18" hidden="false" customHeight="true" outlineLevel="0" collapsed="false">
      <c r="A787" s="10" t="s">
        <v>260</v>
      </c>
      <c r="B787" s="10"/>
      <c r="C787" s="10"/>
      <c r="D787" s="13" t="str">
        <f aca="false">IF('04 KESIAPAN'!K22="","BELUM DIISI",'04 KESIAPAN'!K22)</f>
        <v>BELUM DIISI</v>
      </c>
      <c r="E787" s="13"/>
      <c r="F787" s="13"/>
      <c r="G787" s="13"/>
      <c r="H787" s="13"/>
    </row>
    <row r="788" customFormat="false" ht="18" hidden="false" customHeight="true" outlineLevel="0" collapsed="false">
      <c r="A788" s="10" t="s">
        <v>261</v>
      </c>
      <c r="B788" s="10"/>
      <c r="C788" s="10"/>
      <c r="D788" s="13" t="str">
        <f aca="false">IF('04 KESIAPAN'!L22="","BELUM DIISI",'04 KESIAPAN'!L22)</f>
        <v>BELUM DIISI</v>
      </c>
      <c r="E788" s="13"/>
      <c r="F788" s="13"/>
      <c r="G788" s="13"/>
      <c r="H788" s="13"/>
    </row>
    <row r="789" customFormat="false" ht="18" hidden="false" customHeight="true" outlineLevel="0" collapsed="false">
      <c r="A789" s="10" t="s">
        <v>262</v>
      </c>
      <c r="B789" s="10"/>
      <c r="C789" s="10"/>
      <c r="D789" s="13" t="str">
        <f aca="false">IF('04 KESIAPAN'!N22="","BELUM DIISI",'04 KESIAPAN'!N22)</f>
        <v>BELUM DIISI</v>
      </c>
      <c r="E789" s="13"/>
      <c r="F789" s="13"/>
      <c r="G789" s="13"/>
      <c r="H789" s="13"/>
    </row>
    <row r="790" customFormat="false" ht="18" hidden="false" customHeight="true" outlineLevel="0" collapsed="false">
      <c r="A790" s="10" t="s">
        <v>263</v>
      </c>
      <c r="B790" s="10"/>
      <c r="C790" s="10"/>
      <c r="D790" s="13" t="str">
        <f aca="false">IF('04 KESIAPAN'!P22="","BELUM DIISI",'04 KESIAPAN'!P22)</f>
        <v>BELUM DIISI</v>
      </c>
      <c r="E790" s="13"/>
      <c r="F790" s="13"/>
      <c r="G790" s="13"/>
      <c r="H790" s="13"/>
    </row>
    <row r="791" customFormat="false" ht="18" hidden="false" customHeight="true" outlineLevel="0" collapsed="false">
      <c r="A791" s="7" t="s">
        <v>264</v>
      </c>
      <c r="B791" s="7"/>
      <c r="C791" s="7"/>
      <c r="D791" s="7"/>
      <c r="E791" s="7"/>
      <c r="F791" s="7"/>
      <c r="G791" s="7"/>
      <c r="H791" s="7"/>
    </row>
    <row r="792" customFormat="false" ht="18" hidden="false" customHeight="true" outlineLevel="0" collapsed="false">
      <c r="A792" s="13"/>
      <c r="B792" s="13"/>
      <c r="C792" s="13"/>
      <c r="D792" s="13"/>
      <c r="E792" s="13"/>
      <c r="F792" s="13"/>
      <c r="G792" s="13"/>
      <c r="H792" s="13"/>
    </row>
    <row r="793" customFormat="false" ht="18" hidden="false" customHeight="true" outlineLevel="0" collapsed="false">
      <c r="A793" s="13"/>
      <c r="B793" s="13"/>
      <c r="C793" s="13"/>
      <c r="D793" s="13"/>
      <c r="E793" s="13"/>
      <c r="F793" s="13"/>
      <c r="G793" s="13"/>
      <c r="H793" s="13"/>
    </row>
    <row r="794" customFormat="false" ht="18" hidden="false" customHeight="true" outlineLevel="0" collapsed="false">
      <c r="A794" s="13"/>
      <c r="B794" s="13"/>
      <c r="C794" s="13"/>
      <c r="D794" s="13"/>
      <c r="E794" s="13"/>
      <c r="F794" s="13"/>
      <c r="G794" s="13"/>
      <c r="H794" s="13"/>
    </row>
    <row r="795" customFormat="false" ht="18" hidden="false" customHeight="true" outlineLevel="0" collapsed="false">
      <c r="A795" s="12" t="s">
        <v>265</v>
      </c>
      <c r="B795" s="12"/>
      <c r="C795" s="12"/>
      <c r="D795" s="12"/>
      <c r="E795" s="12" t="s">
        <v>266</v>
      </c>
      <c r="F795" s="12"/>
      <c r="G795" s="12"/>
      <c r="H795" s="12"/>
    </row>
    <row r="796" customFormat="false" ht="18" hidden="false" customHeight="true" outlineLevel="0" collapsed="false">
      <c r="A796" s="12" t="s">
        <v>287</v>
      </c>
      <c r="B796" s="12"/>
      <c r="C796" s="12"/>
      <c r="D796" s="12"/>
      <c r="E796" s="12"/>
      <c r="F796" s="12"/>
      <c r="G796" s="12"/>
      <c r="H796" s="12"/>
    </row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25.5" hidden="false" customHeight="true" outlineLevel="0" collapsed="false">
      <c r="A799" s="7" t="s">
        <v>246</v>
      </c>
      <c r="B799" s="7"/>
      <c r="C799" s="7"/>
      <c r="D799" s="7"/>
      <c r="E799" s="7"/>
      <c r="F799" s="7"/>
      <c r="G799" s="7"/>
      <c r="H799" s="7"/>
    </row>
    <row r="800" customFormat="false" ht="18" hidden="false" customHeight="true" outlineLevel="0" collapsed="false">
      <c r="A800" s="8" t="str">
        <f aca="false">'01 ADMIN_ORDER'!R23</f>
        <v>DRAFT - PERLU VERIFIKASI</v>
      </c>
      <c r="B800" s="8"/>
      <c r="C800" s="8"/>
      <c r="D800" s="8"/>
      <c r="E800" s="8"/>
      <c r="F800" s="8"/>
      <c r="G800" s="8"/>
      <c r="H800" s="8"/>
    </row>
    <row r="801" customFormat="false" ht="18" hidden="false" customHeight="true" outlineLevel="0" collapsed="false">
      <c r="A801" s="9" t="s">
        <v>247</v>
      </c>
      <c r="B801" s="9"/>
      <c r="C801" s="9"/>
      <c r="D801" s="9"/>
      <c r="E801" s="9"/>
      <c r="F801" s="9"/>
      <c r="G801" s="9"/>
      <c r="H801" s="9"/>
    </row>
    <row r="802" customFormat="false" ht="18" hidden="false" customHeight="true" outlineLevel="0" collapsed="false">
      <c r="A802" s="10" t="s">
        <v>248</v>
      </c>
      <c r="B802" s="10"/>
      <c r="C802" s="11" t="str">
        <f aca="false">'01 ADMIN_ORDER'!A23</f>
        <v>158/10/22 (59)</v>
      </c>
      <c r="D802" s="11"/>
      <c r="E802" s="11"/>
      <c r="F802" s="11"/>
      <c r="G802" s="11"/>
      <c r="H802" s="11"/>
    </row>
    <row r="803" customFormat="false" ht="18" hidden="false" customHeight="true" outlineLevel="0" collapsed="false">
      <c r="A803" s="10" t="s">
        <v>249</v>
      </c>
      <c r="B803" s="10"/>
      <c r="C803" s="12" t="str">
        <f aca="false">'01 ADMIN_ORDER'!C23&amp;" / "&amp;'01 ADMIN_ORDER'!D23</f>
        <v>FRONTCOURT LOW / LA6604</v>
      </c>
      <c r="D803" s="12"/>
      <c r="E803" s="12"/>
      <c r="F803" s="12"/>
      <c r="G803" s="12"/>
      <c r="H803" s="12"/>
    </row>
    <row r="804" customFormat="false" ht="18" hidden="false" customHeight="true" outlineLevel="0" collapsed="false">
      <c r="A804" s="10" t="s">
        <v>250</v>
      </c>
      <c r="B804" s="10"/>
      <c r="C804" s="12" t="str">
        <f aca="false">'01 ADMIN_ORDER'!E23</f>
        <v>903513754</v>
      </c>
      <c r="D804" s="12"/>
      <c r="E804" s="12"/>
      <c r="F804" s="12"/>
      <c r="G804" s="12"/>
      <c r="H804" s="12"/>
    </row>
    <row r="805" customFormat="false" ht="27.75" hidden="false" customHeight="true" outlineLevel="0" collapsed="false">
      <c r="A805" s="10" t="s">
        <v>251</v>
      </c>
      <c r="B805" s="10"/>
      <c r="C805" s="12" t="str">
        <f aca="false">'01 ADMIN_ORDER'!H23</f>
        <v>CORE BLACK/FTWR WHITE/CORE BLACK</v>
      </c>
      <c r="D805" s="12"/>
      <c r="E805" s="12"/>
      <c r="F805" s="12"/>
      <c r="G805" s="12"/>
      <c r="H805" s="12"/>
    </row>
    <row r="806" customFormat="false" ht="18" hidden="false" customHeight="true" outlineLevel="0" collapsed="false">
      <c r="A806" s="10" t="s">
        <v>252</v>
      </c>
      <c r="B806" s="10"/>
      <c r="C806" s="12" t="str">
        <f aca="false">'01 ADMIN_ORDER'!B23&amp;" / "&amp;'01 ADMIN_ORDER'!G23</f>
        <v>A-19 / Germany</v>
      </c>
      <c r="D806" s="12"/>
      <c r="E806" s="12"/>
      <c r="F806" s="12"/>
      <c r="G806" s="12"/>
      <c r="H806" s="12"/>
    </row>
    <row r="807" customFormat="false" ht="18" hidden="false" customHeight="true" outlineLevel="0" collapsed="false">
      <c r="A807" s="10" t="s">
        <v>253</v>
      </c>
      <c r="B807" s="10"/>
      <c r="C807" s="13" t="str">
        <f aca="false">'01 ADMIN_ORDER'!I23&amp;" / "&amp;IF('04 KESIAPAN'!B23="","UOM BELUM DIISI",'04 KESIAPAN'!B23)</f>
        <v>302 / UOM BELUM DIISI</v>
      </c>
      <c r="D807" s="13"/>
      <c r="E807" s="13"/>
      <c r="F807" s="13"/>
      <c r="G807" s="13"/>
      <c r="H807" s="13"/>
    </row>
    <row r="808" customFormat="false" ht="18" hidden="false" customHeight="true" outlineLevel="0" collapsed="false">
      <c r="A808" s="13" t="str">
        <f aca="false">IF('04 KESIAPAN'!C23="","SISTEM UKURAN BELUM DIISI",'04 KESIAPAN'!C23)&amp;" | Tanda -: "&amp;IF('04 KESIAPAN'!D23="","BELUM DIKONFIRMASI",'04 KESIAPAN'!D23)</f>
        <v>SISTEM UKURAN BELUM DIISI | Tanda -: BELUM DIKONFIRMASI</v>
      </c>
      <c r="B808" s="13"/>
      <c r="C808" s="13"/>
      <c r="D808" s="13"/>
      <c r="E808" s="13"/>
      <c r="F808" s="13"/>
      <c r="G808" s="13"/>
      <c r="H808" s="13"/>
    </row>
    <row r="809" customFormat="false" ht="18" hidden="false" customHeight="true" outlineLevel="0" collapsed="false">
      <c r="A809" s="7" t="s">
        <v>254</v>
      </c>
      <c r="B809" s="7"/>
      <c r="C809" s="7"/>
      <c r="D809" s="7"/>
      <c r="E809" s="7"/>
      <c r="F809" s="7"/>
      <c r="G809" s="7"/>
      <c r="H809" s="7"/>
    </row>
    <row r="810" customFormat="false" ht="18" hidden="false" customHeight="true" outlineLevel="0" collapsed="false">
      <c r="A810" s="14" t="s">
        <v>214</v>
      </c>
      <c r="B810" s="0" t="n">
        <f aca="false">'02 SIZE_RUN'!D23</f>
        <v>1</v>
      </c>
      <c r="C810" s="14" t="s">
        <v>215</v>
      </c>
      <c r="D810" s="0" t="n">
        <f aca="false">'02 SIZE_RUN'!E23</f>
        <v>2</v>
      </c>
      <c r="E810" s="14" t="s">
        <v>216</v>
      </c>
      <c r="F810" s="0" t="n">
        <f aca="false">'02 SIZE_RUN'!F23</f>
        <v>2</v>
      </c>
      <c r="G810" s="14" t="s">
        <v>217</v>
      </c>
      <c r="H810" s="0" t="n">
        <f aca="false">'02 SIZE_RUN'!G23</f>
        <v>1</v>
      </c>
    </row>
    <row r="811" customFormat="false" ht="18" hidden="false" customHeight="true" outlineLevel="0" collapsed="false">
      <c r="A811" s="14" t="s">
        <v>218</v>
      </c>
      <c r="B811" s="0" t="n">
        <f aca="false">'02 SIZE_RUN'!H23</f>
        <v>3</v>
      </c>
      <c r="C811" s="14" t="s">
        <v>219</v>
      </c>
      <c r="D811" s="0" t="n">
        <f aca="false">'02 SIZE_RUN'!I23</f>
        <v>2</v>
      </c>
      <c r="E811" s="14" t="s">
        <v>220</v>
      </c>
      <c r="F811" s="0" t="n">
        <f aca="false">'02 SIZE_RUN'!J23</f>
        <v>1</v>
      </c>
      <c r="G811" s="14" t="s">
        <v>221</v>
      </c>
      <c r="H811" s="0" t="n">
        <f aca="false">'02 SIZE_RUN'!K23</f>
        <v>13</v>
      </c>
    </row>
    <row r="812" customFormat="false" ht="18" hidden="false" customHeight="true" outlineLevel="0" collapsed="false">
      <c r="A812" s="14" t="s">
        <v>222</v>
      </c>
      <c r="B812" s="0" t="n">
        <f aca="false">'02 SIZE_RUN'!L23</f>
        <v>6</v>
      </c>
      <c r="C812" s="14" t="s">
        <v>223</v>
      </c>
      <c r="D812" s="0" t="n">
        <f aca="false">'02 SIZE_RUN'!M23</f>
        <v>30</v>
      </c>
      <c r="E812" s="14" t="s">
        <v>224</v>
      </c>
      <c r="F812" s="0" t="n">
        <f aca="false">'02 SIZE_RUN'!N23</f>
        <v>42</v>
      </c>
      <c r="G812" s="14" t="s">
        <v>225</v>
      </c>
      <c r="H812" s="0" t="n">
        <f aca="false">'02 SIZE_RUN'!O23</f>
        <v>40</v>
      </c>
    </row>
    <row r="813" customFormat="false" ht="18" hidden="false" customHeight="true" outlineLevel="0" collapsed="false">
      <c r="A813" s="14" t="s">
        <v>226</v>
      </c>
      <c r="B813" s="0" t="n">
        <f aca="false">'02 SIZE_RUN'!P23</f>
        <v>71</v>
      </c>
      <c r="C813" s="14" t="s">
        <v>227</v>
      </c>
      <c r="D813" s="0" t="n">
        <f aca="false">'02 SIZE_RUN'!Q23</f>
        <v>46</v>
      </c>
      <c r="E813" s="14" t="s">
        <v>228</v>
      </c>
      <c r="F813" s="0" t="n">
        <f aca="false">'02 SIZE_RUN'!R23</f>
        <v>2</v>
      </c>
      <c r="G813" s="14" t="s">
        <v>229</v>
      </c>
      <c r="H813" s="0" t="n">
        <f aca="false">'02 SIZE_RUN'!S23</f>
        <v>16</v>
      </c>
    </row>
    <row r="814" customFormat="false" ht="18" hidden="false" customHeight="true" outlineLevel="0" collapsed="false">
      <c r="A814" s="14" t="s">
        <v>230</v>
      </c>
      <c r="B814" s="0" t="n">
        <f aca="false">'02 SIZE_RUN'!T23</f>
        <v>13</v>
      </c>
      <c r="C814" s="14" t="s">
        <v>231</v>
      </c>
      <c r="D814" s="0" t="n">
        <f aca="false">'02 SIZE_RUN'!U23</f>
        <v>6</v>
      </c>
      <c r="E814" s="14" t="s">
        <v>232</v>
      </c>
      <c r="F814" s="0" t="n">
        <f aca="false">'02 SIZE_RUN'!V23</f>
        <v>0</v>
      </c>
      <c r="G814" s="14" t="s">
        <v>233</v>
      </c>
      <c r="H814" s="0" t="n">
        <f aca="false">'02 SIZE_RUN'!W23</f>
        <v>3</v>
      </c>
    </row>
    <row r="815" customFormat="false" ht="18" hidden="false" customHeight="true" outlineLevel="0" collapsed="false">
      <c r="A815" s="14" t="s">
        <v>234</v>
      </c>
      <c r="B815" s="0" t="n">
        <f aca="false">'02 SIZE_RUN'!X23</f>
        <v>0</v>
      </c>
      <c r="C815" s="14" t="s">
        <v>235</v>
      </c>
      <c r="D815" s="0" t="n">
        <f aca="false">'02 SIZE_RUN'!Y23</f>
        <v>2</v>
      </c>
      <c r="E815" s="14" t="s">
        <v>236</v>
      </c>
      <c r="F815" s="0" t="n">
        <f aca="false">'02 SIZE_RUN'!Z23</f>
        <v>0</v>
      </c>
      <c r="G815" s="14" t="s">
        <v>237</v>
      </c>
      <c r="H815" s="0" t="n">
        <f aca="false">'02 SIZE_RUN'!AA23</f>
        <v>0</v>
      </c>
    </row>
    <row r="816" customFormat="false" ht="18" hidden="false" customHeight="true" outlineLevel="0" collapsed="false">
      <c r="A816" s="14" t="s">
        <v>238</v>
      </c>
      <c r="B816" s="0" t="n">
        <f aca="false">'02 SIZE_RUN'!AB23</f>
        <v>0</v>
      </c>
      <c r="C816" s="14" t="s">
        <v>239</v>
      </c>
      <c r="D816" s="0" t="n">
        <f aca="false">'02 SIZE_RUN'!AC23</f>
        <v>0</v>
      </c>
      <c r="E816" s="14" t="s">
        <v>240</v>
      </c>
      <c r="F816" s="0" t="n">
        <f aca="false">'02 SIZE_RUN'!AD23</f>
        <v>0</v>
      </c>
      <c r="G816" s="14" t="s">
        <v>241</v>
      </c>
      <c r="H816" s="0" t="n">
        <f aca="false">'02 SIZE_RUN'!AE23</f>
        <v>0</v>
      </c>
    </row>
    <row r="817" customFormat="false" ht="18" hidden="false" customHeight="true" outlineLevel="0" collapsed="false">
      <c r="A817" s="14" t="s">
        <v>242</v>
      </c>
      <c r="B817" s="0" t="n">
        <f aca="false">'02 SIZE_RUN'!AF23</f>
        <v>0</v>
      </c>
    </row>
    <row r="818" customFormat="false" ht="18" hidden="false" customHeight="true" outlineLevel="0" collapsed="false">
      <c r="A818" s="10" t="str">
        <f aca="false">"TOTAL SIZE: "&amp;'02 SIZE_RUN'!AG23&amp;" | SELISIH: "&amp;'02 SIZE_RUN'!AH23</f>
        <v>TOTAL SIZE: 302 | SELISIH: 0</v>
      </c>
      <c r="B818" s="10"/>
      <c r="C818" s="10"/>
      <c r="D818" s="10"/>
      <c r="E818" s="10"/>
      <c r="F818" s="10"/>
      <c r="G818" s="10"/>
      <c r="H818" s="10"/>
    </row>
    <row r="819" customFormat="false" ht="18" hidden="false" customHeight="true" outlineLevel="0" collapsed="false">
      <c r="A819" s="10" t="s">
        <v>255</v>
      </c>
      <c r="B819" s="10"/>
      <c r="C819" s="10"/>
      <c r="D819" s="13" t="str">
        <f aca="false">IF('01 ADMIN_ORDER'!P23="","BELUM DITETAPKAN",TEXT('01 ADMIN_ORDER'!P23,"dd mmm yyyy"))</f>
        <v>BELUM DITETAPKAN</v>
      </c>
      <c r="E819" s="13"/>
      <c r="F819" s="13"/>
      <c r="G819" s="13"/>
      <c r="H819" s="13"/>
    </row>
    <row r="820" customFormat="false" ht="18" hidden="false" customHeight="true" outlineLevel="0" collapsed="false">
      <c r="A820" s="10" t="s">
        <v>256</v>
      </c>
      <c r="B820" s="10"/>
      <c r="C820" s="10"/>
      <c r="D820" s="13" t="str">
        <f aca="false">IF('01 ADMIN_ORDER'!Q23="","BELUM DITETAPKAN",TEXT('01 ADMIN_ORDER'!Q23,"dd mmm yyyy"))</f>
        <v>BELUM DITETAPKAN</v>
      </c>
      <c r="E820" s="13"/>
      <c r="F820" s="13"/>
      <c r="G820" s="13"/>
      <c r="H820" s="13"/>
    </row>
    <row r="821" customFormat="false" ht="25.5" hidden="false" customHeight="true" outlineLevel="0" collapsed="false">
      <c r="A821" s="12" t="str">
        <f aca="false">"REFERENSI ASSEMBLY (bukan target upper): "&amp;TEXT('01 ADMIN_ORDER'!M23,"dd mmm yyyy")&amp;" - "&amp;TEXT('01 ADMIN_ORDER'!N23,"dd mmm yyyy")</f>
        <v>REFERENSI ASSEMBLY (bukan target upper): 13 Oct 2026 - 13 Oct 2026</v>
      </c>
      <c r="B821" s="12"/>
      <c r="C821" s="12"/>
      <c r="D821" s="12"/>
      <c r="E821" s="12"/>
      <c r="F821" s="12"/>
      <c r="G821" s="12"/>
      <c r="H821" s="12"/>
    </row>
    <row r="822" customFormat="false" ht="18" hidden="false" customHeight="true" outlineLevel="0" collapsed="false">
      <c r="A822" s="10" t="s">
        <v>257</v>
      </c>
      <c r="B822" s="10"/>
      <c r="C822" s="10"/>
      <c r="D822" s="13" t="str">
        <f aca="false">IF('04 KESIAPAN'!G23="","BELUM DIISI",'04 KESIAPAN'!G23)</f>
        <v>BELUM DIISI</v>
      </c>
      <c r="E822" s="13"/>
      <c r="F822" s="13"/>
      <c r="G822" s="13"/>
      <c r="H822" s="13"/>
    </row>
    <row r="823" customFormat="false" ht="18" hidden="false" customHeight="true" outlineLevel="0" collapsed="false">
      <c r="A823" s="10" t="s">
        <v>258</v>
      </c>
      <c r="B823" s="10"/>
      <c r="C823" s="10"/>
      <c r="D823" s="13" t="str">
        <f aca="false">IF('04 KESIAPAN'!H23="","BELUM DIISI",'04 KESIAPAN'!H23)</f>
        <v>BELUM DIISI</v>
      </c>
      <c r="E823" s="13"/>
      <c r="F823" s="13"/>
      <c r="G823" s="13"/>
      <c r="H823" s="13"/>
    </row>
    <row r="824" customFormat="false" ht="18" hidden="false" customHeight="true" outlineLevel="0" collapsed="false">
      <c r="A824" s="10" t="s">
        <v>259</v>
      </c>
      <c r="B824" s="10"/>
      <c r="C824" s="10"/>
      <c r="D824" s="13" t="str">
        <f aca="false">IF('04 KESIAPAN'!I23="","BELUM DIISI",'04 KESIAPAN'!I23)</f>
        <v>BELUM DIISI</v>
      </c>
      <c r="E824" s="13"/>
      <c r="F824" s="13"/>
      <c r="G824" s="13"/>
      <c r="H824" s="13"/>
    </row>
    <row r="825" customFormat="false" ht="18" hidden="false" customHeight="true" outlineLevel="0" collapsed="false">
      <c r="A825" s="10" t="s">
        <v>260</v>
      </c>
      <c r="B825" s="10"/>
      <c r="C825" s="10"/>
      <c r="D825" s="13" t="str">
        <f aca="false">IF('04 KESIAPAN'!K23="","BELUM DIISI",'04 KESIAPAN'!K23)</f>
        <v>BELUM DIISI</v>
      </c>
      <c r="E825" s="13"/>
      <c r="F825" s="13"/>
      <c r="G825" s="13"/>
      <c r="H825" s="13"/>
    </row>
    <row r="826" customFormat="false" ht="18" hidden="false" customHeight="true" outlineLevel="0" collapsed="false">
      <c r="A826" s="10" t="s">
        <v>261</v>
      </c>
      <c r="B826" s="10"/>
      <c r="C826" s="10"/>
      <c r="D826" s="13" t="str">
        <f aca="false">IF('04 KESIAPAN'!L23="","BELUM DIISI",'04 KESIAPAN'!L23)</f>
        <v>BELUM DIISI</v>
      </c>
      <c r="E826" s="13"/>
      <c r="F826" s="13"/>
      <c r="G826" s="13"/>
      <c r="H826" s="13"/>
    </row>
    <row r="827" customFormat="false" ht="18" hidden="false" customHeight="true" outlineLevel="0" collapsed="false">
      <c r="A827" s="10" t="s">
        <v>262</v>
      </c>
      <c r="B827" s="10"/>
      <c r="C827" s="10"/>
      <c r="D827" s="13" t="str">
        <f aca="false">IF('04 KESIAPAN'!N23="","BELUM DIISI",'04 KESIAPAN'!N23)</f>
        <v>BELUM DIISI</v>
      </c>
      <c r="E827" s="13"/>
      <c r="F827" s="13"/>
      <c r="G827" s="13"/>
      <c r="H827" s="13"/>
    </row>
    <row r="828" customFormat="false" ht="18" hidden="false" customHeight="true" outlineLevel="0" collapsed="false">
      <c r="A828" s="10" t="s">
        <v>263</v>
      </c>
      <c r="B828" s="10"/>
      <c r="C828" s="10"/>
      <c r="D828" s="13" t="str">
        <f aca="false">IF('04 KESIAPAN'!P23="","BELUM DIISI",'04 KESIAPAN'!P23)</f>
        <v>BELUM DIISI</v>
      </c>
      <c r="E828" s="13"/>
      <c r="F828" s="13"/>
      <c r="G828" s="13"/>
      <c r="H828" s="13"/>
    </row>
    <row r="829" customFormat="false" ht="18" hidden="false" customHeight="true" outlineLevel="0" collapsed="false">
      <c r="A829" s="7" t="s">
        <v>264</v>
      </c>
      <c r="B829" s="7"/>
      <c r="C829" s="7"/>
      <c r="D829" s="7"/>
      <c r="E829" s="7"/>
      <c r="F829" s="7"/>
      <c r="G829" s="7"/>
      <c r="H829" s="7"/>
    </row>
    <row r="830" customFormat="false" ht="18" hidden="false" customHeight="true" outlineLevel="0" collapsed="false">
      <c r="A830" s="13"/>
      <c r="B830" s="13"/>
      <c r="C830" s="13"/>
      <c r="D830" s="13"/>
      <c r="E830" s="13"/>
      <c r="F830" s="13"/>
      <c r="G830" s="13"/>
      <c r="H830" s="13"/>
    </row>
    <row r="831" customFormat="false" ht="18" hidden="false" customHeight="true" outlineLevel="0" collapsed="false">
      <c r="A831" s="13"/>
      <c r="B831" s="13"/>
      <c r="C831" s="13"/>
      <c r="D831" s="13"/>
      <c r="E831" s="13"/>
      <c r="F831" s="13"/>
      <c r="G831" s="13"/>
      <c r="H831" s="13"/>
    </row>
    <row r="832" customFormat="false" ht="18" hidden="false" customHeight="true" outlineLevel="0" collapsed="false">
      <c r="A832" s="13"/>
      <c r="B832" s="13"/>
      <c r="C832" s="13"/>
      <c r="D832" s="13"/>
      <c r="E832" s="13"/>
      <c r="F832" s="13"/>
      <c r="G832" s="13"/>
      <c r="H832" s="13"/>
    </row>
    <row r="833" customFormat="false" ht="18" hidden="false" customHeight="true" outlineLevel="0" collapsed="false">
      <c r="A833" s="12" t="s">
        <v>265</v>
      </c>
      <c r="B833" s="12"/>
      <c r="C833" s="12"/>
      <c r="D833" s="12"/>
      <c r="E833" s="12" t="s">
        <v>266</v>
      </c>
      <c r="F833" s="12"/>
      <c r="G833" s="12"/>
      <c r="H833" s="12"/>
    </row>
    <row r="834" customFormat="false" ht="18" hidden="false" customHeight="true" outlineLevel="0" collapsed="false">
      <c r="A834" s="12" t="s">
        <v>288</v>
      </c>
      <c r="B834" s="12"/>
      <c r="C834" s="12"/>
      <c r="D834" s="12"/>
      <c r="E834" s="12"/>
      <c r="F834" s="12"/>
      <c r="G834" s="12"/>
      <c r="H834" s="12"/>
    </row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25.5" hidden="false" customHeight="true" outlineLevel="0" collapsed="false">
      <c r="A837" s="7" t="s">
        <v>246</v>
      </c>
      <c r="B837" s="7"/>
      <c r="C837" s="7"/>
      <c r="D837" s="7"/>
      <c r="E837" s="7"/>
      <c r="F837" s="7"/>
      <c r="G837" s="7"/>
      <c r="H837" s="7"/>
    </row>
    <row r="838" customFormat="false" ht="18" hidden="false" customHeight="true" outlineLevel="0" collapsed="false">
      <c r="A838" s="8" t="str">
        <f aca="false">'01 ADMIN_ORDER'!R24</f>
        <v>DRAFT - PERLU VERIFIKASI</v>
      </c>
      <c r="B838" s="8"/>
      <c r="C838" s="8"/>
      <c r="D838" s="8"/>
      <c r="E838" s="8"/>
      <c r="F838" s="8"/>
      <c r="G838" s="8"/>
      <c r="H838" s="8"/>
    </row>
    <row r="839" customFormat="false" ht="18" hidden="false" customHeight="true" outlineLevel="0" collapsed="false">
      <c r="A839" s="9" t="s">
        <v>247</v>
      </c>
      <c r="B839" s="9"/>
      <c r="C839" s="9"/>
      <c r="D839" s="9"/>
      <c r="E839" s="9"/>
      <c r="F839" s="9"/>
      <c r="G839" s="9"/>
      <c r="H839" s="9"/>
    </row>
    <row r="840" customFormat="false" ht="18" hidden="false" customHeight="true" outlineLevel="0" collapsed="false">
      <c r="A840" s="10" t="s">
        <v>248</v>
      </c>
      <c r="B840" s="10"/>
      <c r="C840" s="11" t="str">
        <f aca="false">'01 ADMIN_ORDER'!A24</f>
        <v>159/10/23 (59)</v>
      </c>
      <c r="D840" s="11"/>
      <c r="E840" s="11"/>
      <c r="F840" s="11"/>
      <c r="G840" s="11"/>
      <c r="H840" s="11"/>
    </row>
    <row r="841" customFormat="false" ht="18" hidden="false" customHeight="true" outlineLevel="0" collapsed="false">
      <c r="A841" s="10" t="s">
        <v>249</v>
      </c>
      <c r="B841" s="10"/>
      <c r="C841" s="12" t="str">
        <f aca="false">'01 ADMIN_ORDER'!C24&amp;" / "&amp;'01 ADMIN_ORDER'!D24</f>
        <v>FRONTCOURT LOW / LA6617</v>
      </c>
      <c r="D841" s="12"/>
      <c r="E841" s="12"/>
      <c r="F841" s="12"/>
      <c r="G841" s="12"/>
      <c r="H841" s="12"/>
    </row>
    <row r="842" customFormat="false" ht="18" hidden="false" customHeight="true" outlineLevel="0" collapsed="false">
      <c r="A842" s="10" t="s">
        <v>250</v>
      </c>
      <c r="B842" s="10"/>
      <c r="C842" s="12" t="str">
        <f aca="false">'01 ADMIN_ORDER'!E24</f>
        <v>903280184</v>
      </c>
      <c r="D842" s="12"/>
      <c r="E842" s="12"/>
      <c r="F842" s="12"/>
      <c r="G842" s="12"/>
      <c r="H842" s="12"/>
    </row>
    <row r="843" customFormat="false" ht="27.75" hidden="false" customHeight="true" outlineLevel="0" collapsed="false">
      <c r="A843" s="10" t="s">
        <v>251</v>
      </c>
      <c r="B843" s="10"/>
      <c r="C843" s="12" t="str">
        <f aca="false">'01 ADMIN_ORDER'!H24</f>
        <v>OLIVE TWO/OFF WHITE/OLIVE THREE</v>
      </c>
      <c r="D843" s="12"/>
      <c r="E843" s="12"/>
      <c r="F843" s="12"/>
      <c r="G843" s="12"/>
      <c r="H843" s="12"/>
    </row>
    <row r="844" customFormat="false" ht="18" hidden="false" customHeight="true" outlineLevel="0" collapsed="false">
      <c r="A844" s="10" t="s">
        <v>252</v>
      </c>
      <c r="B844" s="10"/>
      <c r="C844" s="12" t="str">
        <f aca="false">'01 ADMIN_ORDER'!B24&amp;" / "&amp;'01 ADMIN_ORDER'!G24</f>
        <v>A-19 / Ukraine</v>
      </c>
      <c r="D844" s="12"/>
      <c r="E844" s="12"/>
      <c r="F844" s="12"/>
      <c r="G844" s="12"/>
      <c r="H844" s="12"/>
    </row>
    <row r="845" customFormat="false" ht="18" hidden="false" customHeight="true" outlineLevel="0" collapsed="false">
      <c r="A845" s="10" t="s">
        <v>253</v>
      </c>
      <c r="B845" s="10"/>
      <c r="C845" s="13" t="str">
        <f aca="false">'01 ADMIN_ORDER'!I24&amp;" / "&amp;IF('04 KESIAPAN'!B24="","UOM BELUM DIISI",'04 KESIAPAN'!B24)</f>
        <v>300 / UOM BELUM DIISI</v>
      </c>
      <c r="D845" s="13"/>
      <c r="E845" s="13"/>
      <c r="F845" s="13"/>
      <c r="G845" s="13"/>
      <c r="H845" s="13"/>
    </row>
    <row r="846" customFormat="false" ht="18" hidden="false" customHeight="true" outlineLevel="0" collapsed="false">
      <c r="A846" s="13" t="str">
        <f aca="false">IF('04 KESIAPAN'!C24="","SISTEM UKURAN BELUM DIISI",'04 KESIAPAN'!C24)&amp;" | Tanda -: "&amp;IF('04 KESIAPAN'!D24="","BELUM DIKONFIRMASI",'04 KESIAPAN'!D24)</f>
        <v>SISTEM UKURAN BELUM DIISI | Tanda -: BELUM DIKONFIRMASI</v>
      </c>
      <c r="B846" s="13"/>
      <c r="C846" s="13"/>
      <c r="D846" s="13"/>
      <c r="E846" s="13"/>
      <c r="F846" s="13"/>
      <c r="G846" s="13"/>
      <c r="H846" s="13"/>
    </row>
    <row r="847" customFormat="false" ht="18" hidden="false" customHeight="true" outlineLevel="0" collapsed="false">
      <c r="A847" s="7" t="s">
        <v>254</v>
      </c>
      <c r="B847" s="7"/>
      <c r="C847" s="7"/>
      <c r="D847" s="7"/>
      <c r="E847" s="7"/>
      <c r="F847" s="7"/>
      <c r="G847" s="7"/>
      <c r="H847" s="7"/>
    </row>
    <row r="848" customFormat="false" ht="18" hidden="false" customHeight="true" outlineLevel="0" collapsed="false">
      <c r="A848" s="14" t="s">
        <v>214</v>
      </c>
      <c r="B848" s="0" t="n">
        <f aca="false">'02 SIZE_RUN'!D24</f>
        <v>0</v>
      </c>
      <c r="C848" s="14" t="s">
        <v>215</v>
      </c>
      <c r="D848" s="0" t="n">
        <f aca="false">'02 SIZE_RUN'!E24</f>
        <v>0</v>
      </c>
      <c r="E848" s="14" t="s">
        <v>216</v>
      </c>
      <c r="F848" s="0" t="n">
        <f aca="false">'02 SIZE_RUN'!F24</f>
        <v>0</v>
      </c>
      <c r="G848" s="14" t="s">
        <v>217</v>
      </c>
      <c r="H848" s="0" t="n">
        <f aca="false">'02 SIZE_RUN'!G24</f>
        <v>0</v>
      </c>
    </row>
    <row r="849" customFormat="false" ht="18" hidden="false" customHeight="true" outlineLevel="0" collapsed="false">
      <c r="A849" s="14" t="s">
        <v>218</v>
      </c>
      <c r="B849" s="0" t="n">
        <f aca="false">'02 SIZE_RUN'!H24</f>
        <v>0</v>
      </c>
      <c r="C849" s="14" t="s">
        <v>219</v>
      </c>
      <c r="D849" s="0" t="n">
        <f aca="false">'02 SIZE_RUN'!I24</f>
        <v>0</v>
      </c>
      <c r="E849" s="14" t="s">
        <v>220</v>
      </c>
      <c r="F849" s="0" t="n">
        <f aca="false">'02 SIZE_RUN'!J24</f>
        <v>0</v>
      </c>
      <c r="G849" s="14" t="s">
        <v>221</v>
      </c>
      <c r="H849" s="0" t="n">
        <f aca="false">'02 SIZE_RUN'!K24</f>
        <v>0</v>
      </c>
    </row>
    <row r="850" customFormat="false" ht="18" hidden="false" customHeight="true" outlineLevel="0" collapsed="false">
      <c r="A850" s="14" t="s">
        <v>222</v>
      </c>
      <c r="B850" s="0" t="n">
        <f aca="false">'02 SIZE_RUN'!L24</f>
        <v>0</v>
      </c>
      <c r="C850" s="14" t="s">
        <v>223</v>
      </c>
      <c r="D850" s="0" t="n">
        <f aca="false">'02 SIZE_RUN'!M24</f>
        <v>20</v>
      </c>
      <c r="E850" s="14" t="s">
        <v>224</v>
      </c>
      <c r="F850" s="0" t="n">
        <f aca="false">'02 SIZE_RUN'!N24</f>
        <v>35</v>
      </c>
      <c r="G850" s="14" t="s">
        <v>225</v>
      </c>
      <c r="H850" s="0" t="n">
        <f aca="false">'02 SIZE_RUN'!O24</f>
        <v>40</v>
      </c>
    </row>
    <row r="851" customFormat="false" ht="18" hidden="false" customHeight="true" outlineLevel="0" collapsed="false">
      <c r="A851" s="14" t="s">
        <v>226</v>
      </c>
      <c r="B851" s="0" t="n">
        <f aca="false">'02 SIZE_RUN'!P24</f>
        <v>70</v>
      </c>
      <c r="C851" s="14" t="s">
        <v>227</v>
      </c>
      <c r="D851" s="0" t="n">
        <f aca="false">'02 SIZE_RUN'!Q24</f>
        <v>40</v>
      </c>
      <c r="E851" s="14" t="s">
        <v>228</v>
      </c>
      <c r="F851" s="0" t="n">
        <f aca="false">'02 SIZE_RUN'!R24</f>
        <v>35</v>
      </c>
      <c r="G851" s="14" t="s">
        <v>229</v>
      </c>
      <c r="H851" s="0" t="n">
        <f aca="false">'02 SIZE_RUN'!S24</f>
        <v>35</v>
      </c>
    </row>
    <row r="852" customFormat="false" ht="18" hidden="false" customHeight="true" outlineLevel="0" collapsed="false">
      <c r="A852" s="14" t="s">
        <v>230</v>
      </c>
      <c r="B852" s="0" t="n">
        <f aca="false">'02 SIZE_RUN'!T24</f>
        <v>15</v>
      </c>
      <c r="C852" s="14" t="s">
        <v>231</v>
      </c>
      <c r="D852" s="0" t="n">
        <f aca="false">'02 SIZE_RUN'!U24</f>
        <v>5</v>
      </c>
      <c r="E852" s="14" t="s">
        <v>232</v>
      </c>
      <c r="F852" s="0" t="n">
        <f aca="false">'02 SIZE_RUN'!V24</f>
        <v>5</v>
      </c>
      <c r="G852" s="14" t="s">
        <v>233</v>
      </c>
      <c r="H852" s="0" t="n">
        <f aca="false">'02 SIZE_RUN'!W24</f>
        <v>0</v>
      </c>
    </row>
    <row r="853" customFormat="false" ht="18" hidden="false" customHeight="true" outlineLevel="0" collapsed="false">
      <c r="A853" s="14" t="s">
        <v>234</v>
      </c>
      <c r="B853" s="0" t="n">
        <f aca="false">'02 SIZE_RUN'!X24</f>
        <v>0</v>
      </c>
      <c r="C853" s="14" t="s">
        <v>235</v>
      </c>
      <c r="D853" s="0" t="n">
        <f aca="false">'02 SIZE_RUN'!Y24</f>
        <v>0</v>
      </c>
      <c r="E853" s="14" t="s">
        <v>236</v>
      </c>
      <c r="F853" s="0" t="n">
        <f aca="false">'02 SIZE_RUN'!Z24</f>
        <v>0</v>
      </c>
      <c r="G853" s="14" t="s">
        <v>237</v>
      </c>
      <c r="H853" s="0" t="n">
        <f aca="false">'02 SIZE_RUN'!AA24</f>
        <v>0</v>
      </c>
    </row>
    <row r="854" customFormat="false" ht="18" hidden="false" customHeight="true" outlineLevel="0" collapsed="false">
      <c r="A854" s="14" t="s">
        <v>238</v>
      </c>
      <c r="B854" s="0" t="n">
        <f aca="false">'02 SIZE_RUN'!AB24</f>
        <v>0</v>
      </c>
      <c r="C854" s="14" t="s">
        <v>239</v>
      </c>
      <c r="D854" s="0" t="n">
        <f aca="false">'02 SIZE_RUN'!AC24</f>
        <v>0</v>
      </c>
      <c r="E854" s="14" t="s">
        <v>240</v>
      </c>
      <c r="F854" s="0" t="n">
        <f aca="false">'02 SIZE_RUN'!AD24</f>
        <v>0</v>
      </c>
      <c r="G854" s="14" t="s">
        <v>241</v>
      </c>
      <c r="H854" s="0" t="n">
        <f aca="false">'02 SIZE_RUN'!AE24</f>
        <v>0</v>
      </c>
    </row>
    <row r="855" customFormat="false" ht="18" hidden="false" customHeight="true" outlineLevel="0" collapsed="false">
      <c r="A855" s="14" t="s">
        <v>242</v>
      </c>
      <c r="B855" s="0" t="n">
        <f aca="false">'02 SIZE_RUN'!AF24</f>
        <v>0</v>
      </c>
    </row>
    <row r="856" customFormat="false" ht="18" hidden="false" customHeight="true" outlineLevel="0" collapsed="false">
      <c r="A856" s="10" t="str">
        <f aca="false">"TOTAL SIZE: "&amp;'02 SIZE_RUN'!AG24&amp;" | SELISIH: "&amp;'02 SIZE_RUN'!AH24</f>
        <v>TOTAL SIZE: 300 | SELISIH: 0</v>
      </c>
      <c r="B856" s="10"/>
      <c r="C856" s="10"/>
      <c r="D856" s="10"/>
      <c r="E856" s="10"/>
      <c r="F856" s="10"/>
      <c r="G856" s="10"/>
      <c r="H856" s="10"/>
    </row>
    <row r="857" customFormat="false" ht="18" hidden="false" customHeight="true" outlineLevel="0" collapsed="false">
      <c r="A857" s="10" t="s">
        <v>255</v>
      </c>
      <c r="B857" s="10"/>
      <c r="C857" s="10"/>
      <c r="D857" s="13" t="str">
        <f aca="false">IF('01 ADMIN_ORDER'!P24="","BELUM DITETAPKAN",TEXT('01 ADMIN_ORDER'!P24,"dd mmm yyyy"))</f>
        <v>BELUM DITETAPKAN</v>
      </c>
      <c r="E857" s="13"/>
      <c r="F857" s="13"/>
      <c r="G857" s="13"/>
      <c r="H857" s="13"/>
    </row>
    <row r="858" customFormat="false" ht="18" hidden="false" customHeight="true" outlineLevel="0" collapsed="false">
      <c r="A858" s="10" t="s">
        <v>256</v>
      </c>
      <c r="B858" s="10"/>
      <c r="C858" s="10"/>
      <c r="D858" s="13" t="str">
        <f aca="false">IF('01 ADMIN_ORDER'!Q24="","BELUM DITETAPKAN",TEXT('01 ADMIN_ORDER'!Q24,"dd mmm yyyy"))</f>
        <v>BELUM DITETAPKAN</v>
      </c>
      <c r="E858" s="13"/>
      <c r="F858" s="13"/>
      <c r="G858" s="13"/>
      <c r="H858" s="13"/>
    </row>
    <row r="859" customFormat="false" ht="25.5" hidden="false" customHeight="true" outlineLevel="0" collapsed="false">
      <c r="A859" s="12" t="str">
        <f aca="false">"REFERENSI ASSEMBLY (bukan target upper): "&amp;TEXT('01 ADMIN_ORDER'!M24,"dd mmm yyyy")&amp;" - "&amp;TEXT('01 ADMIN_ORDER'!N24,"dd mmm yyyy")</f>
        <v>REFERENSI ASSEMBLY (bukan target upper): 14 Oct 2026 - 14 Oct 2026</v>
      </c>
      <c r="B859" s="12"/>
      <c r="C859" s="12"/>
      <c r="D859" s="12"/>
      <c r="E859" s="12"/>
      <c r="F859" s="12"/>
      <c r="G859" s="12"/>
      <c r="H859" s="12"/>
    </row>
    <row r="860" customFormat="false" ht="18" hidden="false" customHeight="true" outlineLevel="0" collapsed="false">
      <c r="A860" s="10" t="s">
        <v>257</v>
      </c>
      <c r="B860" s="10"/>
      <c r="C860" s="10"/>
      <c r="D860" s="13" t="str">
        <f aca="false">IF('04 KESIAPAN'!G24="","BELUM DIISI",'04 KESIAPAN'!G24)</f>
        <v>BELUM DIISI</v>
      </c>
      <c r="E860" s="13"/>
      <c r="F860" s="13"/>
      <c r="G860" s="13"/>
      <c r="H860" s="13"/>
    </row>
    <row r="861" customFormat="false" ht="18" hidden="false" customHeight="true" outlineLevel="0" collapsed="false">
      <c r="A861" s="10" t="s">
        <v>258</v>
      </c>
      <c r="B861" s="10"/>
      <c r="C861" s="10"/>
      <c r="D861" s="13" t="str">
        <f aca="false">IF('04 KESIAPAN'!H24="","BELUM DIISI",'04 KESIAPAN'!H24)</f>
        <v>BELUM DIISI</v>
      </c>
      <c r="E861" s="13"/>
      <c r="F861" s="13"/>
      <c r="G861" s="13"/>
      <c r="H861" s="13"/>
    </row>
    <row r="862" customFormat="false" ht="18" hidden="false" customHeight="true" outlineLevel="0" collapsed="false">
      <c r="A862" s="10" t="s">
        <v>259</v>
      </c>
      <c r="B862" s="10"/>
      <c r="C862" s="10"/>
      <c r="D862" s="13" t="str">
        <f aca="false">IF('04 KESIAPAN'!I24="","BELUM DIISI",'04 KESIAPAN'!I24)</f>
        <v>BELUM DIISI</v>
      </c>
      <c r="E862" s="13"/>
      <c r="F862" s="13"/>
      <c r="G862" s="13"/>
      <c r="H862" s="13"/>
    </row>
    <row r="863" customFormat="false" ht="18" hidden="false" customHeight="true" outlineLevel="0" collapsed="false">
      <c r="A863" s="10" t="s">
        <v>260</v>
      </c>
      <c r="B863" s="10"/>
      <c r="C863" s="10"/>
      <c r="D863" s="13" t="str">
        <f aca="false">IF('04 KESIAPAN'!K24="","BELUM DIISI",'04 KESIAPAN'!K24)</f>
        <v>BELUM DIISI</v>
      </c>
      <c r="E863" s="13"/>
      <c r="F863" s="13"/>
      <c r="G863" s="13"/>
      <c r="H863" s="13"/>
    </row>
    <row r="864" customFormat="false" ht="18" hidden="false" customHeight="true" outlineLevel="0" collapsed="false">
      <c r="A864" s="10" t="s">
        <v>261</v>
      </c>
      <c r="B864" s="10"/>
      <c r="C864" s="10"/>
      <c r="D864" s="13" t="str">
        <f aca="false">IF('04 KESIAPAN'!L24="","BELUM DIISI",'04 KESIAPAN'!L24)</f>
        <v>BELUM DIISI</v>
      </c>
      <c r="E864" s="13"/>
      <c r="F864" s="13"/>
      <c r="G864" s="13"/>
      <c r="H864" s="13"/>
    </row>
    <row r="865" customFormat="false" ht="18" hidden="false" customHeight="true" outlineLevel="0" collapsed="false">
      <c r="A865" s="10" t="s">
        <v>262</v>
      </c>
      <c r="B865" s="10"/>
      <c r="C865" s="10"/>
      <c r="D865" s="13" t="str">
        <f aca="false">IF('04 KESIAPAN'!N24="","BELUM DIISI",'04 KESIAPAN'!N24)</f>
        <v>BELUM DIISI</v>
      </c>
      <c r="E865" s="13"/>
      <c r="F865" s="13"/>
      <c r="G865" s="13"/>
      <c r="H865" s="13"/>
    </row>
    <row r="866" customFormat="false" ht="18" hidden="false" customHeight="true" outlineLevel="0" collapsed="false">
      <c r="A866" s="10" t="s">
        <v>263</v>
      </c>
      <c r="B866" s="10"/>
      <c r="C866" s="10"/>
      <c r="D866" s="13" t="str">
        <f aca="false">IF('04 KESIAPAN'!P24="","BELUM DIISI",'04 KESIAPAN'!P24)</f>
        <v>BELUM DIISI</v>
      </c>
      <c r="E866" s="13"/>
      <c r="F866" s="13"/>
      <c r="G866" s="13"/>
      <c r="H866" s="13"/>
    </row>
    <row r="867" customFormat="false" ht="18" hidden="false" customHeight="true" outlineLevel="0" collapsed="false">
      <c r="A867" s="7" t="s">
        <v>264</v>
      </c>
      <c r="B867" s="7"/>
      <c r="C867" s="7"/>
      <c r="D867" s="7"/>
      <c r="E867" s="7"/>
      <c r="F867" s="7"/>
      <c r="G867" s="7"/>
      <c r="H867" s="7"/>
    </row>
    <row r="868" customFormat="false" ht="18" hidden="false" customHeight="true" outlineLevel="0" collapsed="false">
      <c r="A868" s="13"/>
      <c r="B868" s="13"/>
      <c r="C868" s="13"/>
      <c r="D868" s="13"/>
      <c r="E868" s="13"/>
      <c r="F868" s="13"/>
      <c r="G868" s="13"/>
      <c r="H868" s="13"/>
    </row>
    <row r="869" customFormat="false" ht="18" hidden="false" customHeight="true" outlineLevel="0" collapsed="false">
      <c r="A869" s="13"/>
      <c r="B869" s="13"/>
      <c r="C869" s="13"/>
      <c r="D869" s="13"/>
      <c r="E869" s="13"/>
      <c r="F869" s="13"/>
      <c r="G869" s="13"/>
      <c r="H869" s="13"/>
    </row>
    <row r="870" customFormat="false" ht="18" hidden="false" customHeight="true" outlineLevel="0" collapsed="false">
      <c r="A870" s="13"/>
      <c r="B870" s="13"/>
      <c r="C870" s="13"/>
      <c r="D870" s="13"/>
      <c r="E870" s="13"/>
      <c r="F870" s="13"/>
      <c r="G870" s="13"/>
      <c r="H870" s="13"/>
    </row>
    <row r="871" customFormat="false" ht="18" hidden="false" customHeight="true" outlineLevel="0" collapsed="false">
      <c r="A871" s="12" t="s">
        <v>265</v>
      </c>
      <c r="B871" s="12"/>
      <c r="C871" s="12"/>
      <c r="D871" s="12"/>
      <c r="E871" s="12" t="s">
        <v>266</v>
      </c>
      <c r="F871" s="12"/>
      <c r="G871" s="12"/>
      <c r="H871" s="12"/>
    </row>
    <row r="872" customFormat="false" ht="18" hidden="false" customHeight="true" outlineLevel="0" collapsed="false">
      <c r="A872" s="12" t="s">
        <v>289</v>
      </c>
      <c r="B872" s="12"/>
      <c r="C872" s="12"/>
      <c r="D872" s="12"/>
      <c r="E872" s="12"/>
      <c r="F872" s="12"/>
      <c r="G872" s="12"/>
      <c r="H872" s="12"/>
    </row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25.5" hidden="false" customHeight="true" outlineLevel="0" collapsed="false">
      <c r="A875" s="7" t="s">
        <v>246</v>
      </c>
      <c r="B875" s="7"/>
      <c r="C875" s="7"/>
      <c r="D875" s="7"/>
      <c r="E875" s="7"/>
      <c r="F875" s="7"/>
      <c r="G875" s="7"/>
      <c r="H875" s="7"/>
    </row>
    <row r="876" customFormat="false" ht="18" hidden="false" customHeight="true" outlineLevel="0" collapsed="false">
      <c r="A876" s="8" t="str">
        <f aca="false">'01 ADMIN_ORDER'!R25</f>
        <v>DRAFT - PERLU VERIFIKASI</v>
      </c>
      <c r="B876" s="8"/>
      <c r="C876" s="8"/>
      <c r="D876" s="8"/>
      <c r="E876" s="8"/>
      <c r="F876" s="8"/>
      <c r="G876" s="8"/>
      <c r="H876" s="8"/>
    </row>
    <row r="877" customFormat="false" ht="18" hidden="false" customHeight="true" outlineLevel="0" collapsed="false">
      <c r="A877" s="9" t="s">
        <v>247</v>
      </c>
      <c r="B877" s="9"/>
      <c r="C877" s="9"/>
      <c r="D877" s="9"/>
      <c r="E877" s="9"/>
      <c r="F877" s="9"/>
      <c r="G877" s="9"/>
      <c r="H877" s="9"/>
    </row>
    <row r="878" customFormat="false" ht="18" hidden="false" customHeight="true" outlineLevel="0" collapsed="false">
      <c r="A878" s="10" t="s">
        <v>248</v>
      </c>
      <c r="B878" s="10"/>
      <c r="C878" s="11" t="str">
        <f aca="false">'01 ADMIN_ORDER'!A25</f>
        <v>160/10/24 (59)</v>
      </c>
      <c r="D878" s="11"/>
      <c r="E878" s="11"/>
      <c r="F878" s="11"/>
      <c r="G878" s="11"/>
      <c r="H878" s="11"/>
    </row>
    <row r="879" customFormat="false" ht="18" hidden="false" customHeight="true" outlineLevel="0" collapsed="false">
      <c r="A879" s="10" t="s">
        <v>249</v>
      </c>
      <c r="B879" s="10"/>
      <c r="C879" s="12" t="str">
        <f aca="false">'01 ADMIN_ORDER'!C25&amp;" / "&amp;'01 ADMIN_ORDER'!D25</f>
        <v>FRONTCOURT LOW / LA6616</v>
      </c>
      <c r="D879" s="12"/>
      <c r="E879" s="12"/>
      <c r="F879" s="12"/>
      <c r="G879" s="12"/>
      <c r="H879" s="12"/>
    </row>
    <row r="880" customFormat="false" ht="18" hidden="false" customHeight="true" outlineLevel="0" collapsed="false">
      <c r="A880" s="10" t="s">
        <v>250</v>
      </c>
      <c r="B880" s="10"/>
      <c r="C880" s="12" t="str">
        <f aca="false">'01 ADMIN_ORDER'!E25</f>
        <v>903288383</v>
      </c>
      <c r="D880" s="12"/>
      <c r="E880" s="12"/>
      <c r="F880" s="12"/>
      <c r="G880" s="12"/>
      <c r="H880" s="12"/>
    </row>
    <row r="881" customFormat="false" ht="27.75" hidden="false" customHeight="true" outlineLevel="0" collapsed="false">
      <c r="A881" s="10" t="s">
        <v>251</v>
      </c>
      <c r="B881" s="10"/>
      <c r="C881" s="12" t="str">
        <f aca="false">'01 ADMIN_ORDER'!H25</f>
        <v>EARTH STRATA/OFF WHITE/DARK BROWN</v>
      </c>
      <c r="D881" s="12"/>
      <c r="E881" s="12"/>
      <c r="F881" s="12"/>
      <c r="G881" s="12"/>
      <c r="H881" s="12"/>
    </row>
    <row r="882" customFormat="false" ht="18" hidden="false" customHeight="true" outlineLevel="0" collapsed="false">
      <c r="A882" s="10" t="s">
        <v>252</v>
      </c>
      <c r="B882" s="10"/>
      <c r="C882" s="12" t="str">
        <f aca="false">'01 ADMIN_ORDER'!B25&amp;" / "&amp;'01 ADMIN_ORDER'!G25</f>
        <v>A-19 / Utd.Arab Emir.</v>
      </c>
      <c r="D882" s="12"/>
      <c r="E882" s="12"/>
      <c r="F882" s="12"/>
      <c r="G882" s="12"/>
      <c r="H882" s="12"/>
    </row>
    <row r="883" customFormat="false" ht="18" hidden="false" customHeight="true" outlineLevel="0" collapsed="false">
      <c r="A883" s="10" t="s">
        <v>253</v>
      </c>
      <c r="B883" s="10"/>
      <c r="C883" s="13" t="str">
        <f aca="false">'01 ADMIN_ORDER'!I25&amp;" / "&amp;IF('04 KESIAPAN'!B25="","UOM BELUM DIISI",'04 KESIAPAN'!B25)</f>
        <v>107 / UOM BELUM DIISI</v>
      </c>
      <c r="D883" s="13"/>
      <c r="E883" s="13"/>
      <c r="F883" s="13"/>
      <c r="G883" s="13"/>
      <c r="H883" s="13"/>
    </row>
    <row r="884" customFormat="false" ht="18" hidden="false" customHeight="true" outlineLevel="0" collapsed="false">
      <c r="A884" s="13" t="str">
        <f aca="false">IF('04 KESIAPAN'!C25="","SISTEM UKURAN BELUM DIISI",'04 KESIAPAN'!C25)&amp;" | Tanda -: "&amp;IF('04 KESIAPAN'!D25="","BELUM DIKONFIRMASI",'04 KESIAPAN'!D25)</f>
        <v>SISTEM UKURAN BELUM DIISI | Tanda -: BELUM DIKONFIRMASI</v>
      </c>
      <c r="B884" s="13"/>
      <c r="C884" s="13"/>
      <c r="D884" s="13"/>
      <c r="E884" s="13"/>
      <c r="F884" s="13"/>
      <c r="G884" s="13"/>
      <c r="H884" s="13"/>
    </row>
    <row r="885" customFormat="false" ht="18" hidden="false" customHeight="true" outlineLevel="0" collapsed="false">
      <c r="A885" s="7" t="s">
        <v>254</v>
      </c>
      <c r="B885" s="7"/>
      <c r="C885" s="7"/>
      <c r="D885" s="7"/>
      <c r="E885" s="7"/>
      <c r="F885" s="7"/>
      <c r="G885" s="7"/>
      <c r="H885" s="7"/>
    </row>
    <row r="886" customFormat="false" ht="18" hidden="false" customHeight="true" outlineLevel="0" collapsed="false">
      <c r="A886" s="14" t="s">
        <v>214</v>
      </c>
      <c r="B886" s="0" t="n">
        <f aca="false">'02 SIZE_RUN'!D25</f>
        <v>0</v>
      </c>
      <c r="C886" s="14" t="s">
        <v>215</v>
      </c>
      <c r="D886" s="0" t="n">
        <f aca="false">'02 SIZE_RUN'!E25</f>
        <v>0</v>
      </c>
      <c r="E886" s="14" t="s">
        <v>216</v>
      </c>
      <c r="F886" s="0" t="n">
        <f aca="false">'02 SIZE_RUN'!F25</f>
        <v>0</v>
      </c>
      <c r="G886" s="14" t="s">
        <v>217</v>
      </c>
      <c r="H886" s="0" t="n">
        <f aca="false">'02 SIZE_RUN'!G25</f>
        <v>0</v>
      </c>
    </row>
    <row r="887" customFormat="false" ht="18" hidden="false" customHeight="true" outlineLevel="0" collapsed="false">
      <c r="A887" s="14" t="s">
        <v>218</v>
      </c>
      <c r="B887" s="0" t="n">
        <f aca="false">'02 SIZE_RUN'!H25</f>
        <v>0</v>
      </c>
      <c r="C887" s="14" t="s">
        <v>219</v>
      </c>
      <c r="D887" s="0" t="n">
        <f aca="false">'02 SIZE_RUN'!I25</f>
        <v>0</v>
      </c>
      <c r="E887" s="14" t="s">
        <v>220</v>
      </c>
      <c r="F887" s="0" t="n">
        <f aca="false">'02 SIZE_RUN'!J25</f>
        <v>0</v>
      </c>
      <c r="G887" s="14" t="s">
        <v>221</v>
      </c>
      <c r="H887" s="0" t="n">
        <f aca="false">'02 SIZE_RUN'!K25</f>
        <v>10</v>
      </c>
    </row>
    <row r="888" customFormat="false" ht="18" hidden="false" customHeight="true" outlineLevel="0" collapsed="false">
      <c r="A888" s="14" t="s">
        <v>222</v>
      </c>
      <c r="B888" s="0" t="n">
        <f aca="false">'02 SIZE_RUN'!L25</f>
        <v>0</v>
      </c>
      <c r="C888" s="14" t="s">
        <v>223</v>
      </c>
      <c r="D888" s="0" t="n">
        <f aca="false">'02 SIZE_RUN'!M25</f>
        <v>16</v>
      </c>
      <c r="E888" s="14" t="s">
        <v>224</v>
      </c>
      <c r="F888" s="0" t="n">
        <f aca="false">'02 SIZE_RUN'!N25</f>
        <v>22</v>
      </c>
      <c r="G888" s="14" t="s">
        <v>225</v>
      </c>
      <c r="H888" s="0" t="n">
        <f aca="false">'02 SIZE_RUN'!O25</f>
        <v>1</v>
      </c>
    </row>
    <row r="889" customFormat="false" ht="18" hidden="false" customHeight="true" outlineLevel="0" collapsed="false">
      <c r="A889" s="14" t="s">
        <v>226</v>
      </c>
      <c r="B889" s="0" t="n">
        <f aca="false">'02 SIZE_RUN'!P25</f>
        <v>22</v>
      </c>
      <c r="C889" s="14" t="s">
        <v>227</v>
      </c>
      <c r="D889" s="0" t="n">
        <f aca="false">'02 SIZE_RUN'!Q25</f>
        <v>16</v>
      </c>
      <c r="E889" s="14" t="s">
        <v>228</v>
      </c>
      <c r="F889" s="0" t="n">
        <f aca="false">'02 SIZE_RUN'!R25</f>
        <v>2</v>
      </c>
      <c r="G889" s="14" t="s">
        <v>229</v>
      </c>
      <c r="H889" s="0" t="n">
        <f aca="false">'02 SIZE_RUN'!S25</f>
        <v>11</v>
      </c>
    </row>
    <row r="890" customFormat="false" ht="18" hidden="false" customHeight="true" outlineLevel="0" collapsed="false">
      <c r="A890" s="14" t="s">
        <v>230</v>
      </c>
      <c r="B890" s="0" t="n">
        <f aca="false">'02 SIZE_RUN'!T25</f>
        <v>6</v>
      </c>
      <c r="C890" s="14" t="s">
        <v>231</v>
      </c>
      <c r="D890" s="0" t="n">
        <f aca="false">'02 SIZE_RUN'!U25</f>
        <v>0</v>
      </c>
      <c r="E890" s="14" t="s">
        <v>232</v>
      </c>
      <c r="F890" s="0" t="n">
        <f aca="false">'02 SIZE_RUN'!V25</f>
        <v>1</v>
      </c>
      <c r="G890" s="14" t="s">
        <v>233</v>
      </c>
      <c r="H890" s="0" t="n">
        <f aca="false">'02 SIZE_RUN'!W25</f>
        <v>0</v>
      </c>
    </row>
    <row r="891" customFormat="false" ht="18" hidden="false" customHeight="true" outlineLevel="0" collapsed="false">
      <c r="A891" s="14" t="s">
        <v>234</v>
      </c>
      <c r="B891" s="0" t="n">
        <f aca="false">'02 SIZE_RUN'!X25</f>
        <v>0</v>
      </c>
      <c r="C891" s="14" t="s">
        <v>235</v>
      </c>
      <c r="D891" s="0" t="n">
        <f aca="false">'02 SIZE_RUN'!Y25</f>
        <v>0</v>
      </c>
      <c r="E891" s="14" t="s">
        <v>236</v>
      </c>
      <c r="F891" s="0" t="n">
        <f aca="false">'02 SIZE_RUN'!Z25</f>
        <v>0</v>
      </c>
      <c r="G891" s="14" t="s">
        <v>237</v>
      </c>
      <c r="H891" s="0" t="n">
        <f aca="false">'02 SIZE_RUN'!AA25</f>
        <v>0</v>
      </c>
    </row>
    <row r="892" customFormat="false" ht="18" hidden="false" customHeight="true" outlineLevel="0" collapsed="false">
      <c r="A892" s="14" t="s">
        <v>238</v>
      </c>
      <c r="B892" s="0" t="n">
        <f aca="false">'02 SIZE_RUN'!AB25</f>
        <v>0</v>
      </c>
      <c r="C892" s="14" t="s">
        <v>239</v>
      </c>
      <c r="D892" s="0" t="n">
        <f aca="false">'02 SIZE_RUN'!AC25</f>
        <v>0</v>
      </c>
      <c r="E892" s="14" t="s">
        <v>240</v>
      </c>
      <c r="F892" s="0" t="n">
        <f aca="false">'02 SIZE_RUN'!AD25</f>
        <v>0</v>
      </c>
      <c r="G892" s="14" t="s">
        <v>241</v>
      </c>
      <c r="H892" s="0" t="n">
        <f aca="false">'02 SIZE_RUN'!AE25</f>
        <v>0</v>
      </c>
    </row>
    <row r="893" customFormat="false" ht="18" hidden="false" customHeight="true" outlineLevel="0" collapsed="false">
      <c r="A893" s="14" t="s">
        <v>242</v>
      </c>
      <c r="B893" s="0" t="n">
        <f aca="false">'02 SIZE_RUN'!AF25</f>
        <v>0</v>
      </c>
    </row>
    <row r="894" customFormat="false" ht="18" hidden="false" customHeight="true" outlineLevel="0" collapsed="false">
      <c r="A894" s="10" t="str">
        <f aca="false">"TOTAL SIZE: "&amp;'02 SIZE_RUN'!AG25&amp;" | SELISIH: "&amp;'02 SIZE_RUN'!AH25</f>
        <v>TOTAL SIZE: 107 | SELISIH: 0</v>
      </c>
      <c r="B894" s="10"/>
      <c r="C894" s="10"/>
      <c r="D894" s="10"/>
      <c r="E894" s="10"/>
      <c r="F894" s="10"/>
      <c r="G894" s="10"/>
      <c r="H894" s="10"/>
    </row>
    <row r="895" customFormat="false" ht="18" hidden="false" customHeight="true" outlineLevel="0" collapsed="false">
      <c r="A895" s="10" t="s">
        <v>255</v>
      </c>
      <c r="B895" s="10"/>
      <c r="C895" s="10"/>
      <c r="D895" s="13" t="str">
        <f aca="false">IF('01 ADMIN_ORDER'!P25="","BELUM DITETAPKAN",TEXT('01 ADMIN_ORDER'!P25,"dd mmm yyyy"))</f>
        <v>BELUM DITETAPKAN</v>
      </c>
      <c r="E895" s="13"/>
      <c r="F895" s="13"/>
      <c r="G895" s="13"/>
      <c r="H895" s="13"/>
    </row>
    <row r="896" customFormat="false" ht="18" hidden="false" customHeight="true" outlineLevel="0" collapsed="false">
      <c r="A896" s="10" t="s">
        <v>256</v>
      </c>
      <c r="B896" s="10"/>
      <c r="C896" s="10"/>
      <c r="D896" s="13" t="str">
        <f aca="false">IF('01 ADMIN_ORDER'!Q25="","BELUM DITETAPKAN",TEXT('01 ADMIN_ORDER'!Q25,"dd mmm yyyy"))</f>
        <v>BELUM DITETAPKAN</v>
      </c>
      <c r="E896" s="13"/>
      <c r="F896" s="13"/>
      <c r="G896" s="13"/>
      <c r="H896" s="13"/>
    </row>
    <row r="897" customFormat="false" ht="25.5" hidden="false" customHeight="true" outlineLevel="0" collapsed="false">
      <c r="A897" s="12" t="str">
        <f aca="false">"REFERENSI ASSEMBLY (bukan target upper): "&amp;TEXT('01 ADMIN_ORDER'!M25,"dd mmm yyyy")&amp;" - "&amp;TEXT('01 ADMIN_ORDER'!N25,"dd mmm yyyy")</f>
        <v>REFERENSI ASSEMBLY (bukan target upper): 15 Oct 2026 - 15 Oct 2026</v>
      </c>
      <c r="B897" s="12"/>
      <c r="C897" s="12"/>
      <c r="D897" s="12"/>
      <c r="E897" s="12"/>
      <c r="F897" s="12"/>
      <c r="G897" s="12"/>
      <c r="H897" s="12"/>
    </row>
    <row r="898" customFormat="false" ht="18" hidden="false" customHeight="true" outlineLevel="0" collapsed="false">
      <c r="A898" s="10" t="s">
        <v>257</v>
      </c>
      <c r="B898" s="10"/>
      <c r="C898" s="10"/>
      <c r="D898" s="13" t="str">
        <f aca="false">IF('04 KESIAPAN'!G25="","BELUM DIISI",'04 KESIAPAN'!G25)</f>
        <v>BELUM DIISI</v>
      </c>
      <c r="E898" s="13"/>
      <c r="F898" s="13"/>
      <c r="G898" s="13"/>
      <c r="H898" s="13"/>
    </row>
    <row r="899" customFormat="false" ht="18" hidden="false" customHeight="true" outlineLevel="0" collapsed="false">
      <c r="A899" s="10" t="s">
        <v>258</v>
      </c>
      <c r="B899" s="10"/>
      <c r="C899" s="10"/>
      <c r="D899" s="13" t="str">
        <f aca="false">IF('04 KESIAPAN'!H25="","BELUM DIISI",'04 KESIAPAN'!H25)</f>
        <v>BELUM DIISI</v>
      </c>
      <c r="E899" s="13"/>
      <c r="F899" s="13"/>
      <c r="G899" s="13"/>
      <c r="H899" s="13"/>
    </row>
    <row r="900" customFormat="false" ht="18" hidden="false" customHeight="true" outlineLevel="0" collapsed="false">
      <c r="A900" s="10" t="s">
        <v>259</v>
      </c>
      <c r="B900" s="10"/>
      <c r="C900" s="10"/>
      <c r="D900" s="13" t="str">
        <f aca="false">IF('04 KESIAPAN'!I25="","BELUM DIISI",'04 KESIAPAN'!I25)</f>
        <v>BELUM DIISI</v>
      </c>
      <c r="E900" s="13"/>
      <c r="F900" s="13"/>
      <c r="G900" s="13"/>
      <c r="H900" s="13"/>
    </row>
    <row r="901" customFormat="false" ht="18" hidden="false" customHeight="true" outlineLevel="0" collapsed="false">
      <c r="A901" s="10" t="s">
        <v>260</v>
      </c>
      <c r="B901" s="10"/>
      <c r="C901" s="10"/>
      <c r="D901" s="13" t="str">
        <f aca="false">IF('04 KESIAPAN'!K25="","BELUM DIISI",'04 KESIAPAN'!K25)</f>
        <v>BELUM DIISI</v>
      </c>
      <c r="E901" s="13"/>
      <c r="F901" s="13"/>
      <c r="G901" s="13"/>
      <c r="H901" s="13"/>
    </row>
    <row r="902" customFormat="false" ht="18" hidden="false" customHeight="true" outlineLevel="0" collapsed="false">
      <c r="A902" s="10" t="s">
        <v>261</v>
      </c>
      <c r="B902" s="10"/>
      <c r="C902" s="10"/>
      <c r="D902" s="13" t="str">
        <f aca="false">IF('04 KESIAPAN'!L25="","BELUM DIISI",'04 KESIAPAN'!L25)</f>
        <v>BELUM DIISI</v>
      </c>
      <c r="E902" s="13"/>
      <c r="F902" s="13"/>
      <c r="G902" s="13"/>
      <c r="H902" s="13"/>
    </row>
    <row r="903" customFormat="false" ht="18" hidden="false" customHeight="true" outlineLevel="0" collapsed="false">
      <c r="A903" s="10" t="s">
        <v>262</v>
      </c>
      <c r="B903" s="10"/>
      <c r="C903" s="10"/>
      <c r="D903" s="13" t="str">
        <f aca="false">IF('04 KESIAPAN'!N25="","BELUM DIISI",'04 KESIAPAN'!N25)</f>
        <v>BELUM DIISI</v>
      </c>
      <c r="E903" s="13"/>
      <c r="F903" s="13"/>
      <c r="G903" s="13"/>
      <c r="H903" s="13"/>
    </row>
    <row r="904" customFormat="false" ht="18" hidden="false" customHeight="true" outlineLevel="0" collapsed="false">
      <c r="A904" s="10" t="s">
        <v>263</v>
      </c>
      <c r="B904" s="10"/>
      <c r="C904" s="10"/>
      <c r="D904" s="13" t="str">
        <f aca="false">IF('04 KESIAPAN'!P25="","BELUM DIISI",'04 KESIAPAN'!P25)</f>
        <v>BELUM DIISI</v>
      </c>
      <c r="E904" s="13"/>
      <c r="F904" s="13"/>
      <c r="G904" s="13"/>
      <c r="H904" s="13"/>
    </row>
    <row r="905" customFormat="false" ht="18" hidden="false" customHeight="true" outlineLevel="0" collapsed="false">
      <c r="A905" s="7" t="s">
        <v>264</v>
      </c>
      <c r="B905" s="7"/>
      <c r="C905" s="7"/>
      <c r="D905" s="7"/>
      <c r="E905" s="7"/>
      <c r="F905" s="7"/>
      <c r="G905" s="7"/>
      <c r="H905" s="7"/>
    </row>
    <row r="906" customFormat="false" ht="18" hidden="false" customHeight="true" outlineLevel="0" collapsed="false">
      <c r="A906" s="13"/>
      <c r="B906" s="13"/>
      <c r="C906" s="13"/>
      <c r="D906" s="13"/>
      <c r="E906" s="13"/>
      <c r="F906" s="13"/>
      <c r="G906" s="13"/>
      <c r="H906" s="13"/>
    </row>
    <row r="907" customFormat="false" ht="18" hidden="false" customHeight="true" outlineLevel="0" collapsed="false">
      <c r="A907" s="13"/>
      <c r="B907" s="13"/>
      <c r="C907" s="13"/>
      <c r="D907" s="13"/>
      <c r="E907" s="13"/>
      <c r="F907" s="13"/>
      <c r="G907" s="13"/>
      <c r="H907" s="13"/>
    </row>
    <row r="908" customFormat="false" ht="18" hidden="false" customHeight="true" outlineLevel="0" collapsed="false">
      <c r="A908" s="13"/>
      <c r="B908" s="13"/>
      <c r="C908" s="13"/>
      <c r="D908" s="13"/>
      <c r="E908" s="13"/>
      <c r="F908" s="13"/>
      <c r="G908" s="13"/>
      <c r="H908" s="13"/>
    </row>
    <row r="909" customFormat="false" ht="18" hidden="false" customHeight="true" outlineLevel="0" collapsed="false">
      <c r="A909" s="12" t="s">
        <v>265</v>
      </c>
      <c r="B909" s="12"/>
      <c r="C909" s="12"/>
      <c r="D909" s="12"/>
      <c r="E909" s="12" t="s">
        <v>266</v>
      </c>
      <c r="F909" s="12"/>
      <c r="G909" s="12"/>
      <c r="H909" s="12"/>
    </row>
    <row r="910" customFormat="false" ht="18" hidden="false" customHeight="true" outlineLevel="0" collapsed="false">
      <c r="A910" s="12" t="s">
        <v>290</v>
      </c>
      <c r="B910" s="12"/>
      <c r="C910" s="12"/>
      <c r="D910" s="12"/>
      <c r="E910" s="12"/>
      <c r="F910" s="12"/>
      <c r="G910" s="12"/>
      <c r="H910" s="12"/>
    </row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25.5" hidden="false" customHeight="true" outlineLevel="0" collapsed="false">
      <c r="A913" s="7" t="s">
        <v>246</v>
      </c>
      <c r="B913" s="7"/>
      <c r="C913" s="7"/>
      <c r="D913" s="7"/>
      <c r="E913" s="7"/>
      <c r="F913" s="7"/>
      <c r="G913" s="7"/>
      <c r="H913" s="7"/>
    </row>
    <row r="914" customFormat="false" ht="18" hidden="false" customHeight="true" outlineLevel="0" collapsed="false">
      <c r="A914" s="8" t="str">
        <f aca="false">'01 ADMIN_ORDER'!R26</f>
        <v>DRAFT - PERLU VERIFIKASI</v>
      </c>
      <c r="B914" s="8"/>
      <c r="C914" s="8"/>
      <c r="D914" s="8"/>
      <c r="E914" s="8"/>
      <c r="F914" s="8"/>
      <c r="G914" s="8"/>
      <c r="H914" s="8"/>
    </row>
    <row r="915" customFormat="false" ht="18" hidden="false" customHeight="true" outlineLevel="0" collapsed="false">
      <c r="A915" s="9" t="s">
        <v>247</v>
      </c>
      <c r="B915" s="9"/>
      <c r="C915" s="9"/>
      <c r="D915" s="9"/>
      <c r="E915" s="9"/>
      <c r="F915" s="9"/>
      <c r="G915" s="9"/>
      <c r="H915" s="9"/>
    </row>
    <row r="916" customFormat="false" ht="18" hidden="false" customHeight="true" outlineLevel="0" collapsed="false">
      <c r="A916" s="10" t="s">
        <v>248</v>
      </c>
      <c r="B916" s="10"/>
      <c r="C916" s="11" t="str">
        <f aca="false">'01 ADMIN_ORDER'!A26</f>
        <v>161/10/25 (59)</v>
      </c>
      <c r="D916" s="11"/>
      <c r="E916" s="11"/>
      <c r="F916" s="11"/>
      <c r="G916" s="11"/>
      <c r="H916" s="11"/>
    </row>
    <row r="917" customFormat="false" ht="18" hidden="false" customHeight="true" outlineLevel="0" collapsed="false">
      <c r="A917" s="10" t="s">
        <v>249</v>
      </c>
      <c r="B917" s="10"/>
      <c r="C917" s="12" t="str">
        <f aca="false">'01 ADMIN_ORDER'!C26&amp;" / "&amp;'01 ADMIN_ORDER'!D26</f>
        <v>FRONTCOURT LOW / KH5441</v>
      </c>
      <c r="D917" s="12"/>
      <c r="E917" s="12"/>
      <c r="F917" s="12"/>
      <c r="G917" s="12"/>
      <c r="H917" s="12"/>
    </row>
    <row r="918" customFormat="false" ht="18" hidden="false" customHeight="true" outlineLevel="0" collapsed="false">
      <c r="A918" s="10" t="s">
        <v>250</v>
      </c>
      <c r="B918" s="10"/>
      <c r="C918" s="12" t="str">
        <f aca="false">'01 ADMIN_ORDER'!E26</f>
        <v>903408983</v>
      </c>
      <c r="D918" s="12"/>
      <c r="E918" s="12"/>
      <c r="F918" s="12"/>
      <c r="G918" s="12"/>
      <c r="H918" s="12"/>
    </row>
    <row r="919" customFormat="false" ht="27.75" hidden="false" customHeight="true" outlineLevel="0" collapsed="false">
      <c r="A919" s="10" t="s">
        <v>251</v>
      </c>
      <c r="B919" s="10"/>
      <c r="C919" s="12" t="str">
        <f aca="false">'01 ADMIN_ORDER'!H26</f>
        <v>FTWR WHITE/CORE BLACK/CORE BLACK</v>
      </c>
      <c r="D919" s="12"/>
      <c r="E919" s="12"/>
      <c r="F919" s="12"/>
      <c r="G919" s="12"/>
      <c r="H919" s="12"/>
    </row>
    <row r="920" customFormat="false" ht="18" hidden="false" customHeight="true" outlineLevel="0" collapsed="false">
      <c r="A920" s="10" t="s">
        <v>252</v>
      </c>
      <c r="B920" s="10"/>
      <c r="C920" s="12" t="str">
        <f aca="false">'01 ADMIN_ORDER'!B26&amp;" / "&amp;'01 ADMIN_ORDER'!G26</f>
        <v>A-19 / United Kingdom</v>
      </c>
      <c r="D920" s="12"/>
      <c r="E920" s="12"/>
      <c r="F920" s="12"/>
      <c r="G920" s="12"/>
      <c r="H920" s="12"/>
    </row>
    <row r="921" customFormat="false" ht="18" hidden="false" customHeight="true" outlineLevel="0" collapsed="false">
      <c r="A921" s="10" t="s">
        <v>253</v>
      </c>
      <c r="B921" s="10"/>
      <c r="C921" s="13" t="str">
        <f aca="false">'01 ADMIN_ORDER'!I26&amp;" / "&amp;IF('04 KESIAPAN'!B26="","UOM BELUM DIISI",'04 KESIAPAN'!B26)</f>
        <v>106 / UOM BELUM DIISI</v>
      </c>
      <c r="D921" s="13"/>
      <c r="E921" s="13"/>
      <c r="F921" s="13"/>
      <c r="G921" s="13"/>
      <c r="H921" s="13"/>
    </row>
    <row r="922" customFormat="false" ht="18" hidden="false" customHeight="true" outlineLevel="0" collapsed="false">
      <c r="A922" s="13" t="str">
        <f aca="false">IF('04 KESIAPAN'!C26="","SISTEM UKURAN BELUM DIISI",'04 KESIAPAN'!C26)&amp;" | Tanda -: "&amp;IF('04 KESIAPAN'!D26="","BELUM DIKONFIRMASI",'04 KESIAPAN'!D26)</f>
        <v>SISTEM UKURAN BELUM DIISI | Tanda -: BELUM DIKONFIRMASI</v>
      </c>
      <c r="B922" s="13"/>
      <c r="C922" s="13"/>
      <c r="D922" s="13"/>
      <c r="E922" s="13"/>
      <c r="F922" s="13"/>
      <c r="G922" s="13"/>
      <c r="H922" s="13"/>
    </row>
    <row r="923" customFormat="false" ht="18" hidden="false" customHeight="true" outlineLevel="0" collapsed="false">
      <c r="A923" s="7" t="s">
        <v>254</v>
      </c>
      <c r="B923" s="7"/>
      <c r="C923" s="7"/>
      <c r="D923" s="7"/>
      <c r="E923" s="7"/>
      <c r="F923" s="7"/>
      <c r="G923" s="7"/>
      <c r="H923" s="7"/>
    </row>
    <row r="924" customFormat="false" ht="18" hidden="false" customHeight="true" outlineLevel="0" collapsed="false">
      <c r="A924" s="14" t="s">
        <v>214</v>
      </c>
      <c r="B924" s="0" t="n">
        <f aca="false">'02 SIZE_RUN'!D26</f>
        <v>0</v>
      </c>
      <c r="C924" s="14" t="s">
        <v>215</v>
      </c>
      <c r="D924" s="0" t="n">
        <f aca="false">'02 SIZE_RUN'!E26</f>
        <v>0</v>
      </c>
      <c r="E924" s="14" t="s">
        <v>216</v>
      </c>
      <c r="F924" s="0" t="n">
        <f aca="false">'02 SIZE_RUN'!F26</f>
        <v>0</v>
      </c>
      <c r="G924" s="14" t="s">
        <v>217</v>
      </c>
      <c r="H924" s="0" t="n">
        <f aca="false">'02 SIZE_RUN'!G26</f>
        <v>0</v>
      </c>
    </row>
    <row r="925" customFormat="false" ht="18" hidden="false" customHeight="true" outlineLevel="0" collapsed="false">
      <c r="A925" s="14" t="s">
        <v>218</v>
      </c>
      <c r="B925" s="0" t="n">
        <f aca="false">'02 SIZE_RUN'!H26</f>
        <v>1</v>
      </c>
      <c r="C925" s="14" t="s">
        <v>219</v>
      </c>
      <c r="D925" s="0" t="n">
        <f aca="false">'02 SIZE_RUN'!I26</f>
        <v>0</v>
      </c>
      <c r="E925" s="14" t="s">
        <v>220</v>
      </c>
      <c r="F925" s="0" t="n">
        <f aca="false">'02 SIZE_RUN'!J26</f>
        <v>3</v>
      </c>
      <c r="G925" s="14" t="s">
        <v>221</v>
      </c>
      <c r="H925" s="0" t="n">
        <f aca="false">'02 SIZE_RUN'!K26</f>
        <v>5</v>
      </c>
    </row>
    <row r="926" customFormat="false" ht="18" hidden="false" customHeight="true" outlineLevel="0" collapsed="false">
      <c r="A926" s="14" t="s">
        <v>222</v>
      </c>
      <c r="B926" s="0" t="n">
        <f aca="false">'02 SIZE_RUN'!L26</f>
        <v>6</v>
      </c>
      <c r="C926" s="14" t="s">
        <v>223</v>
      </c>
      <c r="D926" s="0" t="n">
        <f aca="false">'02 SIZE_RUN'!M26</f>
        <v>0</v>
      </c>
      <c r="E926" s="14" t="s">
        <v>224</v>
      </c>
      <c r="F926" s="0" t="n">
        <f aca="false">'02 SIZE_RUN'!N26</f>
        <v>16</v>
      </c>
      <c r="G926" s="14" t="s">
        <v>225</v>
      </c>
      <c r="H926" s="0" t="n">
        <f aca="false">'02 SIZE_RUN'!O26</f>
        <v>0</v>
      </c>
    </row>
    <row r="927" customFormat="false" ht="18" hidden="false" customHeight="true" outlineLevel="0" collapsed="false">
      <c r="A927" s="14" t="s">
        <v>226</v>
      </c>
      <c r="B927" s="0" t="n">
        <f aca="false">'02 SIZE_RUN'!P26</f>
        <v>24</v>
      </c>
      <c r="C927" s="14" t="s">
        <v>227</v>
      </c>
      <c r="D927" s="0" t="n">
        <f aca="false">'02 SIZE_RUN'!Q26</f>
        <v>15</v>
      </c>
      <c r="E927" s="14" t="s">
        <v>228</v>
      </c>
      <c r="F927" s="0" t="n">
        <f aca="false">'02 SIZE_RUN'!R26</f>
        <v>14</v>
      </c>
      <c r="G927" s="14" t="s">
        <v>229</v>
      </c>
      <c r="H927" s="0" t="n">
        <f aca="false">'02 SIZE_RUN'!S26</f>
        <v>0</v>
      </c>
    </row>
    <row r="928" customFormat="false" ht="18" hidden="false" customHeight="true" outlineLevel="0" collapsed="false">
      <c r="A928" s="14" t="s">
        <v>230</v>
      </c>
      <c r="B928" s="0" t="n">
        <f aca="false">'02 SIZE_RUN'!T26</f>
        <v>11</v>
      </c>
      <c r="C928" s="14" t="s">
        <v>231</v>
      </c>
      <c r="D928" s="0" t="n">
        <f aca="false">'02 SIZE_RUN'!U26</f>
        <v>0</v>
      </c>
      <c r="E928" s="14" t="s">
        <v>232</v>
      </c>
      <c r="F928" s="0" t="n">
        <f aca="false">'02 SIZE_RUN'!V26</f>
        <v>7</v>
      </c>
      <c r="G928" s="14" t="s">
        <v>233</v>
      </c>
      <c r="H928" s="0" t="n">
        <f aca="false">'02 SIZE_RUN'!W26</f>
        <v>2</v>
      </c>
    </row>
    <row r="929" customFormat="false" ht="18" hidden="false" customHeight="true" outlineLevel="0" collapsed="false">
      <c r="A929" s="14" t="s">
        <v>234</v>
      </c>
      <c r="B929" s="0" t="n">
        <f aca="false">'02 SIZE_RUN'!X26</f>
        <v>0</v>
      </c>
      <c r="C929" s="14" t="s">
        <v>235</v>
      </c>
      <c r="D929" s="0" t="n">
        <f aca="false">'02 SIZE_RUN'!Y26</f>
        <v>2</v>
      </c>
      <c r="E929" s="14" t="s">
        <v>236</v>
      </c>
      <c r="F929" s="0" t="n">
        <f aca="false">'02 SIZE_RUN'!Z26</f>
        <v>0</v>
      </c>
      <c r="G929" s="14" t="s">
        <v>237</v>
      </c>
      <c r="H929" s="0" t="n">
        <f aca="false">'02 SIZE_RUN'!AA26</f>
        <v>0</v>
      </c>
    </row>
    <row r="930" customFormat="false" ht="18" hidden="false" customHeight="true" outlineLevel="0" collapsed="false">
      <c r="A930" s="14" t="s">
        <v>238</v>
      </c>
      <c r="B930" s="0" t="n">
        <f aca="false">'02 SIZE_RUN'!AB26</f>
        <v>0</v>
      </c>
      <c r="C930" s="14" t="s">
        <v>239</v>
      </c>
      <c r="D930" s="0" t="n">
        <f aca="false">'02 SIZE_RUN'!AC26</f>
        <v>0</v>
      </c>
      <c r="E930" s="14" t="s">
        <v>240</v>
      </c>
      <c r="F930" s="0" t="n">
        <f aca="false">'02 SIZE_RUN'!AD26</f>
        <v>0</v>
      </c>
      <c r="G930" s="14" t="s">
        <v>241</v>
      </c>
      <c r="H930" s="0" t="n">
        <f aca="false">'02 SIZE_RUN'!AE26</f>
        <v>0</v>
      </c>
    </row>
    <row r="931" customFormat="false" ht="18" hidden="false" customHeight="true" outlineLevel="0" collapsed="false">
      <c r="A931" s="14" t="s">
        <v>242</v>
      </c>
      <c r="B931" s="0" t="n">
        <f aca="false">'02 SIZE_RUN'!AF26</f>
        <v>0</v>
      </c>
    </row>
    <row r="932" customFormat="false" ht="18" hidden="false" customHeight="true" outlineLevel="0" collapsed="false">
      <c r="A932" s="10" t="str">
        <f aca="false">"TOTAL SIZE: "&amp;'02 SIZE_RUN'!AG26&amp;" | SELISIH: "&amp;'02 SIZE_RUN'!AH26</f>
        <v>TOTAL SIZE: 106 | SELISIH: 0</v>
      </c>
      <c r="B932" s="10"/>
      <c r="C932" s="10"/>
      <c r="D932" s="10"/>
      <c r="E932" s="10"/>
      <c r="F932" s="10"/>
      <c r="G932" s="10"/>
      <c r="H932" s="10"/>
    </row>
    <row r="933" customFormat="false" ht="18" hidden="false" customHeight="true" outlineLevel="0" collapsed="false">
      <c r="A933" s="10" t="s">
        <v>255</v>
      </c>
      <c r="B933" s="10"/>
      <c r="C933" s="10"/>
      <c r="D933" s="13" t="str">
        <f aca="false">IF('01 ADMIN_ORDER'!P26="","BELUM DITETAPKAN",TEXT('01 ADMIN_ORDER'!P26,"dd mmm yyyy"))</f>
        <v>BELUM DITETAPKAN</v>
      </c>
      <c r="E933" s="13"/>
      <c r="F933" s="13"/>
      <c r="G933" s="13"/>
      <c r="H933" s="13"/>
    </row>
    <row r="934" customFormat="false" ht="18" hidden="false" customHeight="true" outlineLevel="0" collapsed="false">
      <c r="A934" s="10" t="s">
        <v>256</v>
      </c>
      <c r="B934" s="10"/>
      <c r="C934" s="10"/>
      <c r="D934" s="13" t="str">
        <f aca="false">IF('01 ADMIN_ORDER'!Q26="","BELUM DITETAPKAN",TEXT('01 ADMIN_ORDER'!Q26,"dd mmm yyyy"))</f>
        <v>BELUM DITETAPKAN</v>
      </c>
      <c r="E934" s="13"/>
      <c r="F934" s="13"/>
      <c r="G934" s="13"/>
      <c r="H934" s="13"/>
    </row>
    <row r="935" customFormat="false" ht="25.5" hidden="false" customHeight="true" outlineLevel="0" collapsed="false">
      <c r="A935" s="12" t="str">
        <f aca="false">"REFERENSI ASSEMBLY (bukan target upper): "&amp;TEXT('01 ADMIN_ORDER'!M26,"dd mmm yyyy")&amp;" - "&amp;TEXT('01 ADMIN_ORDER'!N26,"dd mmm yyyy")</f>
        <v>REFERENSI ASSEMBLY (bukan target upper): 16 Oct 2026 - 19 Oct 2026</v>
      </c>
      <c r="B935" s="12"/>
      <c r="C935" s="12"/>
      <c r="D935" s="12"/>
      <c r="E935" s="12"/>
      <c r="F935" s="12"/>
      <c r="G935" s="12"/>
      <c r="H935" s="12"/>
    </row>
    <row r="936" customFormat="false" ht="18" hidden="false" customHeight="true" outlineLevel="0" collapsed="false">
      <c r="A936" s="10" t="s">
        <v>257</v>
      </c>
      <c r="B936" s="10"/>
      <c r="C936" s="10"/>
      <c r="D936" s="13" t="str">
        <f aca="false">IF('04 KESIAPAN'!G26="","BELUM DIISI",'04 KESIAPAN'!G26)</f>
        <v>BELUM DIISI</v>
      </c>
      <c r="E936" s="13"/>
      <c r="F936" s="13"/>
      <c r="G936" s="13"/>
      <c r="H936" s="13"/>
    </row>
    <row r="937" customFormat="false" ht="18" hidden="false" customHeight="true" outlineLevel="0" collapsed="false">
      <c r="A937" s="10" t="s">
        <v>258</v>
      </c>
      <c r="B937" s="10"/>
      <c r="C937" s="10"/>
      <c r="D937" s="13" t="str">
        <f aca="false">IF('04 KESIAPAN'!H26="","BELUM DIISI",'04 KESIAPAN'!H26)</f>
        <v>BELUM DIISI</v>
      </c>
      <c r="E937" s="13"/>
      <c r="F937" s="13"/>
      <c r="G937" s="13"/>
      <c r="H937" s="13"/>
    </row>
    <row r="938" customFormat="false" ht="18" hidden="false" customHeight="true" outlineLevel="0" collapsed="false">
      <c r="A938" s="10" t="s">
        <v>259</v>
      </c>
      <c r="B938" s="10"/>
      <c r="C938" s="10"/>
      <c r="D938" s="13" t="str">
        <f aca="false">IF('04 KESIAPAN'!I26="","BELUM DIISI",'04 KESIAPAN'!I26)</f>
        <v>BELUM DIISI</v>
      </c>
      <c r="E938" s="13"/>
      <c r="F938" s="13"/>
      <c r="G938" s="13"/>
      <c r="H938" s="13"/>
    </row>
    <row r="939" customFormat="false" ht="18" hidden="false" customHeight="true" outlineLevel="0" collapsed="false">
      <c r="A939" s="10" t="s">
        <v>260</v>
      </c>
      <c r="B939" s="10"/>
      <c r="C939" s="10"/>
      <c r="D939" s="13" t="str">
        <f aca="false">IF('04 KESIAPAN'!K26="","BELUM DIISI",'04 KESIAPAN'!K26)</f>
        <v>BELUM DIISI</v>
      </c>
      <c r="E939" s="13"/>
      <c r="F939" s="13"/>
      <c r="G939" s="13"/>
      <c r="H939" s="13"/>
    </row>
    <row r="940" customFormat="false" ht="18" hidden="false" customHeight="true" outlineLevel="0" collapsed="false">
      <c r="A940" s="10" t="s">
        <v>261</v>
      </c>
      <c r="B940" s="10"/>
      <c r="C940" s="10"/>
      <c r="D940" s="13" t="str">
        <f aca="false">IF('04 KESIAPAN'!L26="","BELUM DIISI",'04 KESIAPAN'!L26)</f>
        <v>BELUM DIISI</v>
      </c>
      <c r="E940" s="13"/>
      <c r="F940" s="13"/>
      <c r="G940" s="13"/>
      <c r="H940" s="13"/>
    </row>
    <row r="941" customFormat="false" ht="18" hidden="false" customHeight="true" outlineLevel="0" collapsed="false">
      <c r="A941" s="10" t="s">
        <v>262</v>
      </c>
      <c r="B941" s="10"/>
      <c r="C941" s="10"/>
      <c r="D941" s="13" t="str">
        <f aca="false">IF('04 KESIAPAN'!N26="","BELUM DIISI",'04 KESIAPAN'!N26)</f>
        <v>BELUM DIISI</v>
      </c>
      <c r="E941" s="13"/>
      <c r="F941" s="13"/>
      <c r="G941" s="13"/>
      <c r="H941" s="13"/>
    </row>
    <row r="942" customFormat="false" ht="18" hidden="false" customHeight="true" outlineLevel="0" collapsed="false">
      <c r="A942" s="10" t="s">
        <v>263</v>
      </c>
      <c r="B942" s="10"/>
      <c r="C942" s="10"/>
      <c r="D942" s="13" t="str">
        <f aca="false">IF('04 KESIAPAN'!P26="","BELUM DIISI",'04 KESIAPAN'!P26)</f>
        <v>BELUM DIISI</v>
      </c>
      <c r="E942" s="13"/>
      <c r="F942" s="13"/>
      <c r="G942" s="13"/>
      <c r="H942" s="13"/>
    </row>
    <row r="943" customFormat="false" ht="18" hidden="false" customHeight="true" outlineLevel="0" collapsed="false">
      <c r="A943" s="7" t="s">
        <v>264</v>
      </c>
      <c r="B943" s="7"/>
      <c r="C943" s="7"/>
      <c r="D943" s="7"/>
      <c r="E943" s="7"/>
      <c r="F943" s="7"/>
      <c r="G943" s="7"/>
      <c r="H943" s="7"/>
    </row>
    <row r="944" customFormat="false" ht="18" hidden="false" customHeight="true" outlineLevel="0" collapsed="false">
      <c r="A944" s="13"/>
      <c r="B944" s="13"/>
      <c r="C944" s="13"/>
      <c r="D944" s="13"/>
      <c r="E944" s="13"/>
      <c r="F944" s="13"/>
      <c r="G944" s="13"/>
      <c r="H944" s="13"/>
    </row>
    <row r="945" customFormat="false" ht="18" hidden="false" customHeight="true" outlineLevel="0" collapsed="false">
      <c r="A945" s="13"/>
      <c r="B945" s="13"/>
      <c r="C945" s="13"/>
      <c r="D945" s="13"/>
      <c r="E945" s="13"/>
      <c r="F945" s="13"/>
      <c r="G945" s="13"/>
      <c r="H945" s="13"/>
    </row>
    <row r="946" customFormat="false" ht="18" hidden="false" customHeight="true" outlineLevel="0" collapsed="false">
      <c r="A946" s="13"/>
      <c r="B946" s="13"/>
      <c r="C946" s="13"/>
      <c r="D946" s="13"/>
      <c r="E946" s="13"/>
      <c r="F946" s="13"/>
      <c r="G946" s="13"/>
      <c r="H946" s="13"/>
    </row>
    <row r="947" customFormat="false" ht="18" hidden="false" customHeight="true" outlineLevel="0" collapsed="false">
      <c r="A947" s="12" t="s">
        <v>265</v>
      </c>
      <c r="B947" s="12"/>
      <c r="C947" s="12"/>
      <c r="D947" s="12"/>
      <c r="E947" s="12" t="s">
        <v>266</v>
      </c>
      <c r="F947" s="12"/>
      <c r="G947" s="12"/>
      <c r="H947" s="12"/>
    </row>
    <row r="948" customFormat="false" ht="18" hidden="false" customHeight="true" outlineLevel="0" collapsed="false">
      <c r="A948" s="12" t="s">
        <v>291</v>
      </c>
      <c r="B948" s="12"/>
      <c r="C948" s="12"/>
      <c r="D948" s="12"/>
      <c r="E948" s="12"/>
      <c r="F948" s="12"/>
      <c r="G948" s="12"/>
      <c r="H948" s="12"/>
    </row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25.5" hidden="false" customHeight="true" outlineLevel="0" collapsed="false">
      <c r="A951" s="7" t="s">
        <v>246</v>
      </c>
      <c r="B951" s="7"/>
      <c r="C951" s="7"/>
      <c r="D951" s="7"/>
      <c r="E951" s="7"/>
      <c r="F951" s="7"/>
      <c r="G951" s="7"/>
      <c r="H951" s="7"/>
    </row>
    <row r="952" customFormat="false" ht="18" hidden="false" customHeight="true" outlineLevel="0" collapsed="false">
      <c r="A952" s="8" t="str">
        <f aca="false">'01 ADMIN_ORDER'!R27</f>
        <v>DRAFT - PERLU VERIFIKASI</v>
      </c>
      <c r="B952" s="8"/>
      <c r="C952" s="8"/>
      <c r="D952" s="8"/>
      <c r="E952" s="8"/>
      <c r="F952" s="8"/>
      <c r="G952" s="8"/>
      <c r="H952" s="8"/>
    </row>
    <row r="953" customFormat="false" ht="18" hidden="false" customHeight="true" outlineLevel="0" collapsed="false">
      <c r="A953" s="9" t="s">
        <v>247</v>
      </c>
      <c r="B953" s="9"/>
      <c r="C953" s="9"/>
      <c r="D953" s="9"/>
      <c r="E953" s="9"/>
      <c r="F953" s="9"/>
      <c r="G953" s="9"/>
      <c r="H953" s="9"/>
    </row>
    <row r="954" customFormat="false" ht="18" hidden="false" customHeight="true" outlineLevel="0" collapsed="false">
      <c r="A954" s="10" t="s">
        <v>248</v>
      </c>
      <c r="B954" s="10"/>
      <c r="C954" s="11" t="str">
        <f aca="false">'01 ADMIN_ORDER'!A27</f>
        <v>162/10/26 (59)</v>
      </c>
      <c r="D954" s="11"/>
      <c r="E954" s="11"/>
      <c r="F954" s="11"/>
      <c r="G954" s="11"/>
      <c r="H954" s="11"/>
    </row>
    <row r="955" customFormat="false" ht="18" hidden="false" customHeight="true" outlineLevel="0" collapsed="false">
      <c r="A955" s="10" t="s">
        <v>249</v>
      </c>
      <c r="B955" s="10"/>
      <c r="C955" s="12" t="str">
        <f aca="false">'01 ADMIN_ORDER'!C27&amp;" / "&amp;'01 ADMIN_ORDER'!D27</f>
        <v>FRONTCOURT LOW / KH5441</v>
      </c>
      <c r="D955" s="12"/>
      <c r="E955" s="12"/>
      <c r="F955" s="12"/>
      <c r="G955" s="12"/>
      <c r="H955" s="12"/>
    </row>
    <row r="956" customFormat="false" ht="18" hidden="false" customHeight="true" outlineLevel="0" collapsed="false">
      <c r="A956" s="10" t="s">
        <v>250</v>
      </c>
      <c r="B956" s="10"/>
      <c r="C956" s="12" t="str">
        <f aca="false">'01 ADMIN_ORDER'!E27</f>
        <v>903408983 (FGT)</v>
      </c>
      <c r="D956" s="12"/>
      <c r="E956" s="12"/>
      <c r="F956" s="12"/>
      <c r="G956" s="12"/>
      <c r="H956" s="12"/>
    </row>
    <row r="957" customFormat="false" ht="27.75" hidden="false" customHeight="true" outlineLevel="0" collapsed="false">
      <c r="A957" s="10" t="s">
        <v>251</v>
      </c>
      <c r="B957" s="10"/>
      <c r="C957" s="12" t="str">
        <f aca="false">'01 ADMIN_ORDER'!H27</f>
        <v>FTWR WHITE/CORE BLACK/CORE BLACK</v>
      </c>
      <c r="D957" s="12"/>
      <c r="E957" s="12"/>
      <c r="F957" s="12"/>
      <c r="G957" s="12"/>
      <c r="H957" s="12"/>
    </row>
    <row r="958" customFormat="false" ht="18" hidden="false" customHeight="true" outlineLevel="0" collapsed="false">
      <c r="A958" s="10" t="s">
        <v>252</v>
      </c>
      <c r="B958" s="10"/>
      <c r="C958" s="12" t="str">
        <f aca="false">'01 ADMIN_ORDER'!B27&amp;" / "&amp;'01 ADMIN_ORDER'!G27</f>
        <v>A-19 / United Kingdom</v>
      </c>
      <c r="D958" s="12"/>
      <c r="E958" s="12"/>
      <c r="F958" s="12"/>
      <c r="G958" s="12"/>
      <c r="H958" s="12"/>
    </row>
    <row r="959" customFormat="false" ht="18" hidden="false" customHeight="true" outlineLevel="0" collapsed="false">
      <c r="A959" s="10" t="s">
        <v>253</v>
      </c>
      <c r="B959" s="10"/>
      <c r="C959" s="13" t="str">
        <f aca="false">'01 ADMIN_ORDER'!I27&amp;" / "&amp;IF('04 KESIAPAN'!B27="","UOM BELUM DIISI",'04 KESIAPAN'!B27)</f>
        <v>9 / UOM BELUM DIISI</v>
      </c>
      <c r="D959" s="13"/>
      <c r="E959" s="13"/>
      <c r="F959" s="13"/>
      <c r="G959" s="13"/>
      <c r="H959" s="13"/>
    </row>
    <row r="960" customFormat="false" ht="18" hidden="false" customHeight="true" outlineLevel="0" collapsed="false">
      <c r="A960" s="13" t="str">
        <f aca="false">IF('04 KESIAPAN'!C27="","SISTEM UKURAN BELUM DIISI",'04 KESIAPAN'!C27)&amp;" | Tanda -: "&amp;IF('04 KESIAPAN'!D27="","BELUM DIKONFIRMASI",'04 KESIAPAN'!D27)</f>
        <v>SISTEM UKURAN BELUM DIISI | Tanda -: BELUM DIKONFIRMASI</v>
      </c>
      <c r="B960" s="13"/>
      <c r="C960" s="13"/>
      <c r="D960" s="13"/>
      <c r="E960" s="13"/>
      <c r="F960" s="13"/>
      <c r="G960" s="13"/>
      <c r="H960" s="13"/>
    </row>
    <row r="961" customFormat="false" ht="18" hidden="false" customHeight="true" outlineLevel="0" collapsed="false">
      <c r="A961" s="7" t="s">
        <v>254</v>
      </c>
      <c r="B961" s="7"/>
      <c r="C961" s="7"/>
      <c r="D961" s="7"/>
      <c r="E961" s="7"/>
      <c r="F961" s="7"/>
      <c r="G961" s="7"/>
      <c r="H961" s="7"/>
    </row>
    <row r="962" customFormat="false" ht="18" hidden="false" customHeight="true" outlineLevel="0" collapsed="false">
      <c r="A962" s="14" t="s">
        <v>214</v>
      </c>
      <c r="B962" s="0" t="n">
        <f aca="false">'02 SIZE_RUN'!D27</f>
        <v>0</v>
      </c>
      <c r="C962" s="14" t="s">
        <v>215</v>
      </c>
      <c r="D962" s="0" t="n">
        <f aca="false">'02 SIZE_RUN'!E27</f>
        <v>0</v>
      </c>
      <c r="E962" s="14" t="s">
        <v>216</v>
      </c>
      <c r="F962" s="0" t="n">
        <f aca="false">'02 SIZE_RUN'!F27</f>
        <v>0</v>
      </c>
      <c r="G962" s="14" t="s">
        <v>217</v>
      </c>
      <c r="H962" s="0" t="n">
        <f aca="false">'02 SIZE_RUN'!G27</f>
        <v>0</v>
      </c>
    </row>
    <row r="963" customFormat="false" ht="18" hidden="false" customHeight="true" outlineLevel="0" collapsed="false">
      <c r="A963" s="14" t="s">
        <v>218</v>
      </c>
      <c r="B963" s="0" t="n">
        <f aca="false">'02 SIZE_RUN'!H27</f>
        <v>0</v>
      </c>
      <c r="C963" s="14" t="s">
        <v>219</v>
      </c>
      <c r="D963" s="0" t="n">
        <f aca="false">'02 SIZE_RUN'!I27</f>
        <v>0</v>
      </c>
      <c r="E963" s="14" t="s">
        <v>220</v>
      </c>
      <c r="F963" s="0" t="n">
        <f aca="false">'02 SIZE_RUN'!J27</f>
        <v>0</v>
      </c>
      <c r="G963" s="14" t="s">
        <v>221</v>
      </c>
      <c r="H963" s="0" t="n">
        <f aca="false">'02 SIZE_RUN'!K27</f>
        <v>0</v>
      </c>
    </row>
    <row r="964" customFormat="false" ht="18" hidden="false" customHeight="true" outlineLevel="0" collapsed="false">
      <c r="A964" s="14" t="s">
        <v>222</v>
      </c>
      <c r="B964" s="0" t="n">
        <f aca="false">'02 SIZE_RUN'!L27</f>
        <v>0</v>
      </c>
      <c r="C964" s="14" t="s">
        <v>223</v>
      </c>
      <c r="D964" s="0" t="n">
        <f aca="false">'02 SIZE_RUN'!M27</f>
        <v>0</v>
      </c>
      <c r="E964" s="14" t="s">
        <v>224</v>
      </c>
      <c r="F964" s="0" t="n">
        <f aca="false">'02 SIZE_RUN'!N27</f>
        <v>0</v>
      </c>
      <c r="G964" s="14" t="s">
        <v>225</v>
      </c>
      <c r="H964" s="0" t="n">
        <f aca="false">'02 SIZE_RUN'!O27</f>
        <v>9</v>
      </c>
    </row>
    <row r="965" customFormat="false" ht="18" hidden="false" customHeight="true" outlineLevel="0" collapsed="false">
      <c r="A965" s="14" t="s">
        <v>226</v>
      </c>
      <c r="B965" s="0" t="n">
        <f aca="false">'02 SIZE_RUN'!P27</f>
        <v>0</v>
      </c>
      <c r="C965" s="14" t="s">
        <v>227</v>
      </c>
      <c r="D965" s="0" t="n">
        <f aca="false">'02 SIZE_RUN'!Q27</f>
        <v>0</v>
      </c>
      <c r="E965" s="14" t="s">
        <v>228</v>
      </c>
      <c r="F965" s="0" t="n">
        <f aca="false">'02 SIZE_RUN'!R27</f>
        <v>0</v>
      </c>
      <c r="G965" s="14" t="s">
        <v>229</v>
      </c>
      <c r="H965" s="0" t="n">
        <f aca="false">'02 SIZE_RUN'!S27</f>
        <v>0</v>
      </c>
    </row>
    <row r="966" customFormat="false" ht="18" hidden="false" customHeight="true" outlineLevel="0" collapsed="false">
      <c r="A966" s="14" t="s">
        <v>230</v>
      </c>
      <c r="B966" s="0" t="n">
        <f aca="false">'02 SIZE_RUN'!T27</f>
        <v>0</v>
      </c>
      <c r="C966" s="14" t="s">
        <v>231</v>
      </c>
      <c r="D966" s="0" t="n">
        <f aca="false">'02 SIZE_RUN'!U27</f>
        <v>0</v>
      </c>
      <c r="E966" s="14" t="s">
        <v>232</v>
      </c>
      <c r="F966" s="0" t="n">
        <f aca="false">'02 SIZE_RUN'!V27</f>
        <v>0</v>
      </c>
      <c r="G966" s="14" t="s">
        <v>233</v>
      </c>
      <c r="H966" s="0" t="n">
        <f aca="false">'02 SIZE_RUN'!W27</f>
        <v>0</v>
      </c>
    </row>
    <row r="967" customFormat="false" ht="18" hidden="false" customHeight="true" outlineLevel="0" collapsed="false">
      <c r="A967" s="14" t="s">
        <v>234</v>
      </c>
      <c r="B967" s="0" t="n">
        <f aca="false">'02 SIZE_RUN'!X27</f>
        <v>0</v>
      </c>
      <c r="C967" s="14" t="s">
        <v>235</v>
      </c>
      <c r="D967" s="0" t="n">
        <f aca="false">'02 SIZE_RUN'!Y27</f>
        <v>0</v>
      </c>
      <c r="E967" s="14" t="s">
        <v>236</v>
      </c>
      <c r="F967" s="0" t="n">
        <f aca="false">'02 SIZE_RUN'!Z27</f>
        <v>0</v>
      </c>
      <c r="G967" s="14" t="s">
        <v>237</v>
      </c>
      <c r="H967" s="0" t="n">
        <f aca="false">'02 SIZE_RUN'!AA27</f>
        <v>0</v>
      </c>
    </row>
    <row r="968" customFormat="false" ht="18" hidden="false" customHeight="true" outlineLevel="0" collapsed="false">
      <c r="A968" s="14" t="s">
        <v>238</v>
      </c>
      <c r="B968" s="0" t="n">
        <f aca="false">'02 SIZE_RUN'!AB27</f>
        <v>0</v>
      </c>
      <c r="C968" s="14" t="s">
        <v>239</v>
      </c>
      <c r="D968" s="0" t="n">
        <f aca="false">'02 SIZE_RUN'!AC27</f>
        <v>0</v>
      </c>
      <c r="E968" s="14" t="s">
        <v>240</v>
      </c>
      <c r="F968" s="0" t="n">
        <f aca="false">'02 SIZE_RUN'!AD27</f>
        <v>0</v>
      </c>
      <c r="G968" s="14" t="s">
        <v>241</v>
      </c>
      <c r="H968" s="0" t="n">
        <f aca="false">'02 SIZE_RUN'!AE27</f>
        <v>0</v>
      </c>
    </row>
    <row r="969" customFormat="false" ht="18" hidden="false" customHeight="true" outlineLevel="0" collapsed="false">
      <c r="A969" s="14" t="s">
        <v>242</v>
      </c>
      <c r="B969" s="0" t="n">
        <f aca="false">'02 SIZE_RUN'!AF27</f>
        <v>0</v>
      </c>
    </row>
    <row r="970" customFormat="false" ht="18" hidden="false" customHeight="true" outlineLevel="0" collapsed="false">
      <c r="A970" s="10" t="str">
        <f aca="false">"TOTAL SIZE: "&amp;'02 SIZE_RUN'!AG27&amp;" | SELISIH: "&amp;'02 SIZE_RUN'!AH27</f>
        <v>TOTAL SIZE: 9 | SELISIH: 0</v>
      </c>
      <c r="B970" s="10"/>
      <c r="C970" s="10"/>
      <c r="D970" s="10"/>
      <c r="E970" s="10"/>
      <c r="F970" s="10"/>
      <c r="G970" s="10"/>
      <c r="H970" s="10"/>
    </row>
    <row r="971" customFormat="false" ht="18" hidden="false" customHeight="true" outlineLevel="0" collapsed="false">
      <c r="A971" s="10" t="s">
        <v>255</v>
      </c>
      <c r="B971" s="10"/>
      <c r="C971" s="10"/>
      <c r="D971" s="13" t="str">
        <f aca="false">IF('01 ADMIN_ORDER'!P27="","BELUM DITETAPKAN",TEXT('01 ADMIN_ORDER'!P27,"dd mmm yyyy"))</f>
        <v>BELUM DITETAPKAN</v>
      </c>
      <c r="E971" s="13"/>
      <c r="F971" s="13"/>
      <c r="G971" s="13"/>
      <c r="H971" s="13"/>
    </row>
    <row r="972" customFormat="false" ht="18" hidden="false" customHeight="true" outlineLevel="0" collapsed="false">
      <c r="A972" s="10" t="s">
        <v>256</v>
      </c>
      <c r="B972" s="10"/>
      <c r="C972" s="10"/>
      <c r="D972" s="13" t="str">
        <f aca="false">IF('01 ADMIN_ORDER'!Q27="","BELUM DITETAPKAN",TEXT('01 ADMIN_ORDER'!Q27,"dd mmm yyyy"))</f>
        <v>BELUM DITETAPKAN</v>
      </c>
      <c r="E972" s="13"/>
      <c r="F972" s="13"/>
      <c r="G972" s="13"/>
      <c r="H972" s="13"/>
    </row>
    <row r="973" customFormat="false" ht="25.5" hidden="false" customHeight="true" outlineLevel="0" collapsed="false">
      <c r="A973" s="12" t="str">
        <f aca="false">"REFERENSI ASSEMBLY (bukan target upper): "&amp;TEXT('01 ADMIN_ORDER'!M27,"dd mmm yyyy")&amp;" - "&amp;TEXT('01 ADMIN_ORDER'!N27,"dd mmm yyyy")</f>
        <v>REFERENSI ASSEMBLY (bukan target upper): 16 Oct 2026 - 19 Oct 2026</v>
      </c>
      <c r="B973" s="12"/>
      <c r="C973" s="12"/>
      <c r="D973" s="12"/>
      <c r="E973" s="12"/>
      <c r="F973" s="12"/>
      <c r="G973" s="12"/>
      <c r="H973" s="12"/>
    </row>
    <row r="974" customFormat="false" ht="18" hidden="false" customHeight="true" outlineLevel="0" collapsed="false">
      <c r="A974" s="10" t="s">
        <v>257</v>
      </c>
      <c r="B974" s="10"/>
      <c r="C974" s="10"/>
      <c r="D974" s="13" t="str">
        <f aca="false">IF('04 KESIAPAN'!G27="","BELUM DIISI",'04 KESIAPAN'!G27)</f>
        <v>BELUM DIISI</v>
      </c>
      <c r="E974" s="13"/>
      <c r="F974" s="13"/>
      <c r="G974" s="13"/>
      <c r="H974" s="13"/>
    </row>
    <row r="975" customFormat="false" ht="18" hidden="false" customHeight="true" outlineLevel="0" collapsed="false">
      <c r="A975" s="10" t="s">
        <v>258</v>
      </c>
      <c r="B975" s="10"/>
      <c r="C975" s="10"/>
      <c r="D975" s="13" t="str">
        <f aca="false">IF('04 KESIAPAN'!H27="","BELUM DIISI",'04 KESIAPAN'!H27)</f>
        <v>BELUM DIISI</v>
      </c>
      <c r="E975" s="13"/>
      <c r="F975" s="13"/>
      <c r="G975" s="13"/>
      <c r="H975" s="13"/>
    </row>
    <row r="976" customFormat="false" ht="18" hidden="false" customHeight="true" outlineLevel="0" collapsed="false">
      <c r="A976" s="10" t="s">
        <v>259</v>
      </c>
      <c r="B976" s="10"/>
      <c r="C976" s="10"/>
      <c r="D976" s="13" t="str">
        <f aca="false">IF('04 KESIAPAN'!I27="","BELUM DIISI",'04 KESIAPAN'!I27)</f>
        <v>BELUM DIISI</v>
      </c>
      <c r="E976" s="13"/>
      <c r="F976" s="13"/>
      <c r="G976" s="13"/>
      <c r="H976" s="13"/>
    </row>
    <row r="977" customFormat="false" ht="18" hidden="false" customHeight="true" outlineLevel="0" collapsed="false">
      <c r="A977" s="10" t="s">
        <v>260</v>
      </c>
      <c r="B977" s="10"/>
      <c r="C977" s="10"/>
      <c r="D977" s="13" t="str">
        <f aca="false">IF('04 KESIAPAN'!K27="","BELUM DIISI",'04 KESIAPAN'!K27)</f>
        <v>BELUM DIISI</v>
      </c>
      <c r="E977" s="13"/>
      <c r="F977" s="13"/>
      <c r="G977" s="13"/>
      <c r="H977" s="13"/>
    </row>
    <row r="978" customFormat="false" ht="18" hidden="false" customHeight="true" outlineLevel="0" collapsed="false">
      <c r="A978" s="10" t="s">
        <v>261</v>
      </c>
      <c r="B978" s="10"/>
      <c r="C978" s="10"/>
      <c r="D978" s="13" t="str">
        <f aca="false">IF('04 KESIAPAN'!L27="","BELUM DIISI",'04 KESIAPAN'!L27)</f>
        <v>BELUM DIISI</v>
      </c>
      <c r="E978" s="13"/>
      <c r="F978" s="13"/>
      <c r="G978" s="13"/>
      <c r="H978" s="13"/>
    </row>
    <row r="979" customFormat="false" ht="18" hidden="false" customHeight="true" outlineLevel="0" collapsed="false">
      <c r="A979" s="10" t="s">
        <v>262</v>
      </c>
      <c r="B979" s="10"/>
      <c r="C979" s="10"/>
      <c r="D979" s="13" t="str">
        <f aca="false">IF('04 KESIAPAN'!N27="","BELUM DIISI",'04 KESIAPAN'!N27)</f>
        <v>BELUM DIISI</v>
      </c>
      <c r="E979" s="13"/>
      <c r="F979" s="13"/>
      <c r="G979" s="13"/>
      <c r="H979" s="13"/>
    </row>
    <row r="980" customFormat="false" ht="18" hidden="false" customHeight="true" outlineLevel="0" collapsed="false">
      <c r="A980" s="10" t="s">
        <v>263</v>
      </c>
      <c r="B980" s="10"/>
      <c r="C980" s="10"/>
      <c r="D980" s="13" t="str">
        <f aca="false">IF('04 KESIAPAN'!P27="","BELUM DIISI",'04 KESIAPAN'!P27)</f>
        <v>BELUM DIISI</v>
      </c>
      <c r="E980" s="13"/>
      <c r="F980" s="13"/>
      <c r="G980" s="13"/>
      <c r="H980" s="13"/>
    </row>
    <row r="981" customFormat="false" ht="18" hidden="false" customHeight="true" outlineLevel="0" collapsed="false">
      <c r="A981" s="7" t="s">
        <v>264</v>
      </c>
      <c r="B981" s="7"/>
      <c r="C981" s="7"/>
      <c r="D981" s="7"/>
      <c r="E981" s="7"/>
      <c r="F981" s="7"/>
      <c r="G981" s="7"/>
      <c r="H981" s="7"/>
    </row>
    <row r="982" customFormat="false" ht="18" hidden="false" customHeight="true" outlineLevel="0" collapsed="false">
      <c r="A982" s="13"/>
      <c r="B982" s="13"/>
      <c r="C982" s="13"/>
      <c r="D982" s="13"/>
      <c r="E982" s="13"/>
      <c r="F982" s="13"/>
      <c r="G982" s="13"/>
      <c r="H982" s="13"/>
    </row>
    <row r="983" customFormat="false" ht="18" hidden="false" customHeight="true" outlineLevel="0" collapsed="false">
      <c r="A983" s="13"/>
      <c r="B983" s="13"/>
      <c r="C983" s="13"/>
      <c r="D983" s="13"/>
      <c r="E983" s="13"/>
      <c r="F983" s="13"/>
      <c r="G983" s="13"/>
      <c r="H983" s="13"/>
    </row>
    <row r="984" customFormat="false" ht="18" hidden="false" customHeight="true" outlineLevel="0" collapsed="false">
      <c r="A984" s="13"/>
      <c r="B984" s="13"/>
      <c r="C984" s="13"/>
      <c r="D984" s="13"/>
      <c r="E984" s="13"/>
      <c r="F984" s="13"/>
      <c r="G984" s="13"/>
      <c r="H984" s="13"/>
    </row>
    <row r="985" customFormat="false" ht="18" hidden="false" customHeight="true" outlineLevel="0" collapsed="false">
      <c r="A985" s="12" t="s">
        <v>265</v>
      </c>
      <c r="B985" s="12"/>
      <c r="C985" s="12"/>
      <c r="D985" s="12"/>
      <c r="E985" s="12" t="s">
        <v>266</v>
      </c>
      <c r="F985" s="12"/>
      <c r="G985" s="12"/>
      <c r="H985" s="12"/>
    </row>
    <row r="986" customFormat="false" ht="18" hidden="false" customHeight="true" outlineLevel="0" collapsed="false">
      <c r="A986" s="12" t="s">
        <v>292</v>
      </c>
      <c r="B986" s="12"/>
      <c r="C986" s="12"/>
      <c r="D986" s="12"/>
      <c r="E986" s="12"/>
      <c r="F986" s="12"/>
      <c r="G986" s="12"/>
      <c r="H986" s="12"/>
    </row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25.5" hidden="false" customHeight="true" outlineLevel="0" collapsed="false">
      <c r="A989" s="7" t="s">
        <v>246</v>
      </c>
      <c r="B989" s="7"/>
      <c r="C989" s="7"/>
      <c r="D989" s="7"/>
      <c r="E989" s="7"/>
      <c r="F989" s="7"/>
      <c r="G989" s="7"/>
      <c r="H989" s="7"/>
    </row>
    <row r="990" customFormat="false" ht="18" hidden="false" customHeight="true" outlineLevel="0" collapsed="false">
      <c r="A990" s="8" t="str">
        <f aca="false">'01 ADMIN_ORDER'!R28</f>
        <v>DRAFT - PERLU VERIFIKASI</v>
      </c>
      <c r="B990" s="8"/>
      <c r="C990" s="8"/>
      <c r="D990" s="8"/>
      <c r="E990" s="8"/>
      <c r="F990" s="8"/>
      <c r="G990" s="8"/>
      <c r="H990" s="8"/>
    </row>
    <row r="991" customFormat="false" ht="18" hidden="false" customHeight="true" outlineLevel="0" collapsed="false">
      <c r="A991" s="9" t="s">
        <v>247</v>
      </c>
      <c r="B991" s="9"/>
      <c r="C991" s="9"/>
      <c r="D991" s="9"/>
      <c r="E991" s="9"/>
      <c r="F991" s="9"/>
      <c r="G991" s="9"/>
      <c r="H991" s="9"/>
    </row>
    <row r="992" customFormat="false" ht="18" hidden="false" customHeight="true" outlineLevel="0" collapsed="false">
      <c r="A992" s="10" t="s">
        <v>248</v>
      </c>
      <c r="B992" s="10"/>
      <c r="C992" s="11" t="str">
        <f aca="false">'01 ADMIN_ORDER'!A28</f>
        <v>163/10/27 (59)</v>
      </c>
      <c r="D992" s="11"/>
      <c r="E992" s="11"/>
      <c r="F992" s="11"/>
      <c r="G992" s="11"/>
      <c r="H992" s="11"/>
    </row>
    <row r="993" customFormat="false" ht="18" hidden="false" customHeight="true" outlineLevel="0" collapsed="false">
      <c r="A993" s="10" t="s">
        <v>249</v>
      </c>
      <c r="B993" s="10"/>
      <c r="C993" s="12" t="str">
        <f aca="false">'01 ADMIN_ORDER'!C28&amp;" / "&amp;'01 ADMIN_ORDER'!D28</f>
        <v>FRONTCOURT LOW / LA6616</v>
      </c>
      <c r="D993" s="12"/>
      <c r="E993" s="12"/>
      <c r="F993" s="12"/>
      <c r="G993" s="12"/>
      <c r="H993" s="12"/>
    </row>
    <row r="994" customFormat="false" ht="18" hidden="false" customHeight="true" outlineLevel="0" collapsed="false">
      <c r="A994" s="10" t="s">
        <v>250</v>
      </c>
      <c r="B994" s="10"/>
      <c r="C994" s="12" t="str">
        <f aca="false">'01 ADMIN_ORDER'!E28</f>
        <v>903417921</v>
      </c>
      <c r="D994" s="12"/>
      <c r="E994" s="12"/>
      <c r="F994" s="12"/>
      <c r="G994" s="12"/>
      <c r="H994" s="12"/>
    </row>
    <row r="995" customFormat="false" ht="27.75" hidden="false" customHeight="true" outlineLevel="0" collapsed="false">
      <c r="A995" s="10" t="s">
        <v>251</v>
      </c>
      <c r="B995" s="10"/>
      <c r="C995" s="12" t="str">
        <f aca="false">'01 ADMIN_ORDER'!H28</f>
        <v>EARTH STRATA/OFF WHITE/DARK BROWN</v>
      </c>
      <c r="D995" s="12"/>
      <c r="E995" s="12"/>
      <c r="F995" s="12"/>
      <c r="G995" s="12"/>
      <c r="H995" s="12"/>
    </row>
    <row r="996" customFormat="false" ht="18" hidden="false" customHeight="true" outlineLevel="0" collapsed="false">
      <c r="A996" s="10" t="s">
        <v>252</v>
      </c>
      <c r="B996" s="10"/>
      <c r="C996" s="12" t="str">
        <f aca="false">'01 ADMIN_ORDER'!B28&amp;" / "&amp;'01 ADMIN_ORDER'!G28</f>
        <v>A-19 / Germany (Zalando)</v>
      </c>
      <c r="D996" s="12"/>
      <c r="E996" s="12"/>
      <c r="F996" s="12"/>
      <c r="G996" s="12"/>
      <c r="H996" s="12"/>
    </row>
    <row r="997" customFormat="false" ht="18" hidden="false" customHeight="true" outlineLevel="0" collapsed="false">
      <c r="A997" s="10" t="s">
        <v>253</v>
      </c>
      <c r="B997" s="10"/>
      <c r="C997" s="13" t="str">
        <f aca="false">'01 ADMIN_ORDER'!I28&amp;" / "&amp;IF('04 KESIAPAN'!B28="","UOM BELUM DIISI",'04 KESIAPAN'!B28)</f>
        <v>301 / UOM BELUM DIISI</v>
      </c>
      <c r="D997" s="13"/>
      <c r="E997" s="13"/>
      <c r="F997" s="13"/>
      <c r="G997" s="13"/>
      <c r="H997" s="13"/>
    </row>
    <row r="998" customFormat="false" ht="18" hidden="false" customHeight="true" outlineLevel="0" collapsed="false">
      <c r="A998" s="13" t="str">
        <f aca="false">IF('04 KESIAPAN'!C28="","SISTEM UKURAN BELUM DIISI",'04 KESIAPAN'!C28)&amp;" | Tanda -: "&amp;IF('04 KESIAPAN'!D28="","BELUM DIKONFIRMASI",'04 KESIAPAN'!D28)</f>
        <v>SISTEM UKURAN BELUM DIISI | Tanda -: BELUM DIKONFIRMASI</v>
      </c>
      <c r="B998" s="13"/>
      <c r="C998" s="13"/>
      <c r="D998" s="13"/>
      <c r="E998" s="13"/>
      <c r="F998" s="13"/>
      <c r="G998" s="13"/>
      <c r="H998" s="13"/>
    </row>
    <row r="999" customFormat="false" ht="18" hidden="false" customHeight="true" outlineLevel="0" collapsed="false">
      <c r="A999" s="7" t="s">
        <v>254</v>
      </c>
      <c r="B999" s="7"/>
      <c r="C999" s="7"/>
      <c r="D999" s="7"/>
      <c r="E999" s="7"/>
      <c r="F999" s="7"/>
      <c r="G999" s="7"/>
      <c r="H999" s="7"/>
    </row>
    <row r="1000" customFormat="false" ht="18" hidden="false" customHeight="true" outlineLevel="0" collapsed="false">
      <c r="A1000" s="14" t="s">
        <v>214</v>
      </c>
      <c r="B1000" s="0" t="n">
        <f aca="false">'02 SIZE_RUN'!D28</f>
        <v>0</v>
      </c>
      <c r="C1000" s="14" t="s">
        <v>215</v>
      </c>
      <c r="D1000" s="0" t="n">
        <f aca="false">'02 SIZE_RUN'!E28</f>
        <v>0</v>
      </c>
      <c r="E1000" s="14" t="s">
        <v>216</v>
      </c>
      <c r="F1000" s="0" t="n">
        <f aca="false">'02 SIZE_RUN'!F28</f>
        <v>0</v>
      </c>
      <c r="G1000" s="14" t="s">
        <v>217</v>
      </c>
      <c r="H1000" s="0" t="n">
        <f aca="false">'02 SIZE_RUN'!G28</f>
        <v>0</v>
      </c>
    </row>
    <row r="1001" customFormat="false" ht="18" hidden="false" customHeight="true" outlineLevel="0" collapsed="false">
      <c r="A1001" s="14" t="s">
        <v>218</v>
      </c>
      <c r="B1001" s="0" t="n">
        <f aca="false">'02 SIZE_RUN'!H28</f>
        <v>0</v>
      </c>
      <c r="C1001" s="14" t="s">
        <v>219</v>
      </c>
      <c r="D1001" s="0" t="n">
        <f aca="false">'02 SIZE_RUN'!I28</f>
        <v>0</v>
      </c>
      <c r="E1001" s="14" t="s">
        <v>220</v>
      </c>
      <c r="F1001" s="0" t="n">
        <f aca="false">'02 SIZE_RUN'!J28</f>
        <v>1</v>
      </c>
      <c r="G1001" s="14" t="s">
        <v>221</v>
      </c>
      <c r="H1001" s="0" t="n">
        <f aca="false">'02 SIZE_RUN'!K28</f>
        <v>8</v>
      </c>
    </row>
    <row r="1002" customFormat="false" ht="18" hidden="false" customHeight="true" outlineLevel="0" collapsed="false">
      <c r="A1002" s="14" t="s">
        <v>222</v>
      </c>
      <c r="B1002" s="0" t="n">
        <f aca="false">'02 SIZE_RUN'!L28</f>
        <v>15</v>
      </c>
      <c r="C1002" s="14" t="s">
        <v>223</v>
      </c>
      <c r="D1002" s="0" t="n">
        <f aca="false">'02 SIZE_RUN'!M28</f>
        <v>17</v>
      </c>
      <c r="E1002" s="14" t="s">
        <v>224</v>
      </c>
      <c r="F1002" s="0" t="n">
        <f aca="false">'02 SIZE_RUN'!N28</f>
        <v>41</v>
      </c>
      <c r="G1002" s="14" t="s">
        <v>225</v>
      </c>
      <c r="H1002" s="0" t="n">
        <f aca="false">'02 SIZE_RUN'!O28</f>
        <v>31</v>
      </c>
    </row>
    <row r="1003" customFormat="false" ht="18" hidden="false" customHeight="true" outlineLevel="0" collapsed="false">
      <c r="A1003" s="14" t="s">
        <v>226</v>
      </c>
      <c r="B1003" s="0" t="n">
        <f aca="false">'02 SIZE_RUN'!P28</f>
        <v>44</v>
      </c>
      <c r="C1003" s="14" t="s">
        <v>227</v>
      </c>
      <c r="D1003" s="0" t="n">
        <f aca="false">'02 SIZE_RUN'!Q28</f>
        <v>40</v>
      </c>
      <c r="E1003" s="14" t="s">
        <v>228</v>
      </c>
      <c r="F1003" s="0" t="n">
        <f aca="false">'02 SIZE_RUN'!R28</f>
        <v>37</v>
      </c>
      <c r="G1003" s="14" t="s">
        <v>229</v>
      </c>
      <c r="H1003" s="0" t="n">
        <f aca="false">'02 SIZE_RUN'!S28</f>
        <v>31</v>
      </c>
    </row>
    <row r="1004" customFormat="false" ht="18" hidden="false" customHeight="true" outlineLevel="0" collapsed="false">
      <c r="A1004" s="14" t="s">
        <v>230</v>
      </c>
      <c r="B1004" s="0" t="n">
        <f aca="false">'02 SIZE_RUN'!T28</f>
        <v>20</v>
      </c>
      <c r="C1004" s="14" t="s">
        <v>231</v>
      </c>
      <c r="D1004" s="0" t="n">
        <f aca="false">'02 SIZE_RUN'!U28</f>
        <v>1</v>
      </c>
      <c r="E1004" s="14" t="s">
        <v>232</v>
      </c>
      <c r="F1004" s="0" t="n">
        <f aca="false">'02 SIZE_RUN'!V28</f>
        <v>15</v>
      </c>
      <c r="G1004" s="14" t="s">
        <v>233</v>
      </c>
      <c r="H1004" s="0" t="n">
        <f aca="false">'02 SIZE_RUN'!W28</f>
        <v>0</v>
      </c>
    </row>
    <row r="1005" customFormat="false" ht="18" hidden="false" customHeight="true" outlineLevel="0" collapsed="false">
      <c r="A1005" s="14" t="s">
        <v>234</v>
      </c>
      <c r="B1005" s="0" t="n">
        <f aca="false">'02 SIZE_RUN'!X28</f>
        <v>0</v>
      </c>
      <c r="C1005" s="14" t="s">
        <v>235</v>
      </c>
      <c r="D1005" s="0" t="n">
        <f aca="false">'02 SIZE_RUN'!Y28</f>
        <v>0</v>
      </c>
      <c r="E1005" s="14" t="s">
        <v>236</v>
      </c>
      <c r="F1005" s="0" t="n">
        <f aca="false">'02 SIZE_RUN'!Z28</f>
        <v>0</v>
      </c>
      <c r="G1005" s="14" t="s">
        <v>237</v>
      </c>
      <c r="H1005" s="0" t="n">
        <f aca="false">'02 SIZE_RUN'!AA28</f>
        <v>0</v>
      </c>
    </row>
    <row r="1006" customFormat="false" ht="18" hidden="false" customHeight="true" outlineLevel="0" collapsed="false">
      <c r="A1006" s="14" t="s">
        <v>238</v>
      </c>
      <c r="B1006" s="0" t="n">
        <f aca="false">'02 SIZE_RUN'!AB28</f>
        <v>0</v>
      </c>
      <c r="C1006" s="14" t="s">
        <v>239</v>
      </c>
      <c r="D1006" s="0" t="n">
        <f aca="false">'02 SIZE_RUN'!AC28</f>
        <v>0</v>
      </c>
      <c r="E1006" s="14" t="s">
        <v>240</v>
      </c>
      <c r="F1006" s="0" t="n">
        <f aca="false">'02 SIZE_RUN'!AD28</f>
        <v>0</v>
      </c>
      <c r="G1006" s="14" t="s">
        <v>241</v>
      </c>
      <c r="H1006" s="0" t="n">
        <f aca="false">'02 SIZE_RUN'!AE28</f>
        <v>0</v>
      </c>
    </row>
    <row r="1007" customFormat="false" ht="18" hidden="false" customHeight="true" outlineLevel="0" collapsed="false">
      <c r="A1007" s="14" t="s">
        <v>242</v>
      </c>
      <c r="B1007" s="0" t="n">
        <f aca="false">'02 SIZE_RUN'!AF28</f>
        <v>0</v>
      </c>
    </row>
    <row r="1008" customFormat="false" ht="18" hidden="false" customHeight="true" outlineLevel="0" collapsed="false">
      <c r="A1008" s="10" t="str">
        <f aca="false">"TOTAL SIZE: "&amp;'02 SIZE_RUN'!AG28&amp;" | SELISIH: "&amp;'02 SIZE_RUN'!AH28</f>
        <v>TOTAL SIZE: 301 | SELISIH: 0</v>
      </c>
      <c r="B1008" s="10"/>
      <c r="C1008" s="10"/>
      <c r="D1008" s="10"/>
      <c r="E1008" s="10"/>
      <c r="F1008" s="10"/>
      <c r="G1008" s="10"/>
      <c r="H1008" s="10"/>
    </row>
    <row r="1009" customFormat="false" ht="18" hidden="false" customHeight="true" outlineLevel="0" collapsed="false">
      <c r="A1009" s="10" t="s">
        <v>255</v>
      </c>
      <c r="B1009" s="10"/>
      <c r="C1009" s="10"/>
      <c r="D1009" s="13" t="str">
        <f aca="false">IF('01 ADMIN_ORDER'!P28="","BELUM DITETAPKAN",TEXT('01 ADMIN_ORDER'!P28,"dd mmm yyyy"))</f>
        <v>BELUM DITETAPKAN</v>
      </c>
      <c r="E1009" s="13"/>
      <c r="F1009" s="13"/>
      <c r="G1009" s="13"/>
      <c r="H1009" s="13"/>
    </row>
    <row r="1010" customFormat="false" ht="18" hidden="false" customHeight="true" outlineLevel="0" collapsed="false">
      <c r="A1010" s="10" t="s">
        <v>256</v>
      </c>
      <c r="B1010" s="10"/>
      <c r="C1010" s="10"/>
      <c r="D1010" s="13" t="str">
        <f aca="false">IF('01 ADMIN_ORDER'!Q28="","BELUM DITETAPKAN",TEXT('01 ADMIN_ORDER'!Q28,"dd mmm yyyy"))</f>
        <v>BELUM DITETAPKAN</v>
      </c>
      <c r="E1010" s="13"/>
      <c r="F1010" s="13"/>
      <c r="G1010" s="13"/>
      <c r="H1010" s="13"/>
    </row>
    <row r="1011" customFormat="false" ht="25.5" hidden="false" customHeight="true" outlineLevel="0" collapsed="false">
      <c r="A1011" s="12" t="str">
        <f aca="false">"REFERENSI ASSEMBLY (bukan target upper): "&amp;TEXT('01 ADMIN_ORDER'!M28,"dd mmm yyyy")&amp;" - "&amp;TEXT('01 ADMIN_ORDER'!N28,"dd mmm yyyy")</f>
        <v>REFERENSI ASSEMBLY (bukan target upper): 15 Oct 2026 - 16 Oct 2026</v>
      </c>
      <c r="B1011" s="12"/>
      <c r="C1011" s="12"/>
      <c r="D1011" s="12"/>
      <c r="E1011" s="12"/>
      <c r="F1011" s="12"/>
      <c r="G1011" s="12"/>
      <c r="H1011" s="12"/>
    </row>
    <row r="1012" customFormat="false" ht="18" hidden="false" customHeight="true" outlineLevel="0" collapsed="false">
      <c r="A1012" s="10" t="s">
        <v>257</v>
      </c>
      <c r="B1012" s="10"/>
      <c r="C1012" s="10"/>
      <c r="D1012" s="13" t="str">
        <f aca="false">IF('04 KESIAPAN'!G28="","BELUM DIISI",'04 KESIAPAN'!G28)</f>
        <v>BELUM DIISI</v>
      </c>
      <c r="E1012" s="13"/>
      <c r="F1012" s="13"/>
      <c r="G1012" s="13"/>
      <c r="H1012" s="13"/>
    </row>
    <row r="1013" customFormat="false" ht="18" hidden="false" customHeight="true" outlineLevel="0" collapsed="false">
      <c r="A1013" s="10" t="s">
        <v>258</v>
      </c>
      <c r="B1013" s="10"/>
      <c r="C1013" s="10"/>
      <c r="D1013" s="13" t="str">
        <f aca="false">IF('04 KESIAPAN'!H28="","BELUM DIISI",'04 KESIAPAN'!H28)</f>
        <v>BELUM DIISI</v>
      </c>
      <c r="E1013" s="13"/>
      <c r="F1013" s="13"/>
      <c r="G1013" s="13"/>
      <c r="H1013" s="13"/>
    </row>
    <row r="1014" customFormat="false" ht="18" hidden="false" customHeight="true" outlineLevel="0" collapsed="false">
      <c r="A1014" s="10" t="s">
        <v>259</v>
      </c>
      <c r="B1014" s="10"/>
      <c r="C1014" s="10"/>
      <c r="D1014" s="13" t="str">
        <f aca="false">IF('04 KESIAPAN'!I28="","BELUM DIISI",'04 KESIAPAN'!I28)</f>
        <v>BELUM DIISI</v>
      </c>
      <c r="E1014" s="13"/>
      <c r="F1014" s="13"/>
      <c r="G1014" s="13"/>
      <c r="H1014" s="13"/>
    </row>
    <row r="1015" customFormat="false" ht="18" hidden="false" customHeight="true" outlineLevel="0" collapsed="false">
      <c r="A1015" s="10" t="s">
        <v>260</v>
      </c>
      <c r="B1015" s="10"/>
      <c r="C1015" s="10"/>
      <c r="D1015" s="13" t="str">
        <f aca="false">IF('04 KESIAPAN'!K28="","BELUM DIISI",'04 KESIAPAN'!K28)</f>
        <v>BELUM DIISI</v>
      </c>
      <c r="E1015" s="13"/>
      <c r="F1015" s="13"/>
      <c r="G1015" s="13"/>
      <c r="H1015" s="13"/>
    </row>
    <row r="1016" customFormat="false" ht="18" hidden="false" customHeight="true" outlineLevel="0" collapsed="false">
      <c r="A1016" s="10" t="s">
        <v>261</v>
      </c>
      <c r="B1016" s="10"/>
      <c r="C1016" s="10"/>
      <c r="D1016" s="13" t="str">
        <f aca="false">IF('04 KESIAPAN'!L28="","BELUM DIISI",'04 KESIAPAN'!L28)</f>
        <v>BELUM DIISI</v>
      </c>
      <c r="E1016" s="13"/>
      <c r="F1016" s="13"/>
      <c r="G1016" s="13"/>
      <c r="H1016" s="13"/>
    </row>
    <row r="1017" customFormat="false" ht="18" hidden="false" customHeight="true" outlineLevel="0" collapsed="false">
      <c r="A1017" s="10" t="s">
        <v>262</v>
      </c>
      <c r="B1017" s="10"/>
      <c r="C1017" s="10"/>
      <c r="D1017" s="13" t="str">
        <f aca="false">IF('04 KESIAPAN'!N28="","BELUM DIISI",'04 KESIAPAN'!N28)</f>
        <v>BELUM DIISI</v>
      </c>
      <c r="E1017" s="13"/>
      <c r="F1017" s="13"/>
      <c r="G1017" s="13"/>
      <c r="H1017" s="13"/>
    </row>
    <row r="1018" customFormat="false" ht="18" hidden="false" customHeight="true" outlineLevel="0" collapsed="false">
      <c r="A1018" s="10" t="s">
        <v>263</v>
      </c>
      <c r="B1018" s="10"/>
      <c r="C1018" s="10"/>
      <c r="D1018" s="13" t="str">
        <f aca="false">IF('04 KESIAPAN'!P28="","BELUM DIISI",'04 KESIAPAN'!P28)</f>
        <v>BELUM DIISI</v>
      </c>
      <c r="E1018" s="13"/>
      <c r="F1018" s="13"/>
      <c r="G1018" s="13"/>
      <c r="H1018" s="13"/>
    </row>
    <row r="1019" customFormat="false" ht="18" hidden="false" customHeight="true" outlineLevel="0" collapsed="false">
      <c r="A1019" s="7" t="s">
        <v>264</v>
      </c>
      <c r="B1019" s="7"/>
      <c r="C1019" s="7"/>
      <c r="D1019" s="7"/>
      <c r="E1019" s="7"/>
      <c r="F1019" s="7"/>
      <c r="G1019" s="7"/>
      <c r="H1019" s="7"/>
    </row>
    <row r="1020" customFormat="false" ht="18" hidden="false" customHeight="true" outlineLevel="0" collapsed="false">
      <c r="A1020" s="13"/>
      <c r="B1020" s="13"/>
      <c r="C1020" s="13"/>
      <c r="D1020" s="13"/>
      <c r="E1020" s="13"/>
      <c r="F1020" s="13"/>
      <c r="G1020" s="13"/>
      <c r="H1020" s="13"/>
    </row>
    <row r="1021" customFormat="false" ht="18" hidden="false" customHeight="true" outlineLevel="0" collapsed="false">
      <c r="A1021" s="13"/>
      <c r="B1021" s="13"/>
      <c r="C1021" s="13"/>
      <c r="D1021" s="13"/>
      <c r="E1021" s="13"/>
      <c r="F1021" s="13"/>
      <c r="G1021" s="13"/>
      <c r="H1021" s="13"/>
    </row>
    <row r="1022" customFormat="false" ht="18" hidden="false" customHeight="true" outlineLevel="0" collapsed="false">
      <c r="A1022" s="13"/>
      <c r="B1022" s="13"/>
      <c r="C1022" s="13"/>
      <c r="D1022" s="13"/>
      <c r="E1022" s="13"/>
      <c r="F1022" s="13"/>
      <c r="G1022" s="13"/>
      <c r="H1022" s="13"/>
    </row>
    <row r="1023" customFormat="false" ht="18" hidden="false" customHeight="true" outlineLevel="0" collapsed="false">
      <c r="A1023" s="12" t="s">
        <v>265</v>
      </c>
      <c r="B1023" s="12"/>
      <c r="C1023" s="12"/>
      <c r="D1023" s="12"/>
      <c r="E1023" s="12" t="s">
        <v>266</v>
      </c>
      <c r="F1023" s="12"/>
      <c r="G1023" s="12"/>
      <c r="H1023" s="12"/>
    </row>
    <row r="1024" customFormat="false" ht="18" hidden="false" customHeight="true" outlineLevel="0" collapsed="false">
      <c r="A1024" s="12" t="s">
        <v>293</v>
      </c>
      <c r="B1024" s="12"/>
      <c r="C1024" s="12"/>
      <c r="D1024" s="12"/>
      <c r="E1024" s="12"/>
      <c r="F1024" s="12"/>
      <c r="G1024" s="12"/>
      <c r="H1024" s="12"/>
    </row>
    <row r="1025" customFormat="false" ht="18" hidden="false" customHeight="true" outlineLevel="0" collapsed="false"/>
    <row r="1026" customFormat="false" ht="18" hidden="false" customHeight="true" outlineLevel="0" collapsed="false"/>
    <row r="1027" customFormat="false" ht="25.5" hidden="false" customHeight="true" outlineLevel="0" collapsed="false">
      <c r="A1027" s="7" t="s">
        <v>246</v>
      </c>
      <c r="B1027" s="7"/>
      <c r="C1027" s="7"/>
      <c r="D1027" s="7"/>
      <c r="E1027" s="7"/>
      <c r="F1027" s="7"/>
      <c r="G1027" s="7"/>
      <c r="H1027" s="7"/>
    </row>
    <row r="1028" customFormat="false" ht="18" hidden="false" customHeight="true" outlineLevel="0" collapsed="false">
      <c r="A1028" s="8" t="str">
        <f aca="false">'01 ADMIN_ORDER'!R29</f>
        <v>DRAFT - PERLU VERIFIKASI</v>
      </c>
      <c r="B1028" s="8"/>
      <c r="C1028" s="8"/>
      <c r="D1028" s="8"/>
      <c r="E1028" s="8"/>
      <c r="F1028" s="8"/>
      <c r="G1028" s="8"/>
      <c r="H1028" s="8"/>
    </row>
    <row r="1029" customFormat="false" ht="18" hidden="false" customHeight="true" outlineLevel="0" collapsed="false">
      <c r="A1029" s="9" t="s">
        <v>247</v>
      </c>
      <c r="B1029" s="9"/>
      <c r="C1029" s="9"/>
      <c r="D1029" s="9"/>
      <c r="E1029" s="9"/>
      <c r="F1029" s="9"/>
      <c r="G1029" s="9"/>
      <c r="H1029" s="9"/>
    </row>
    <row r="1030" customFormat="false" ht="18" hidden="false" customHeight="true" outlineLevel="0" collapsed="false">
      <c r="A1030" s="10" t="s">
        <v>248</v>
      </c>
      <c r="B1030" s="10"/>
      <c r="C1030" s="11" t="str">
        <f aca="false">'01 ADMIN_ORDER'!A29</f>
        <v>164/10/28 (59)</v>
      </c>
      <c r="D1030" s="11"/>
      <c r="E1030" s="11"/>
      <c r="F1030" s="11"/>
      <c r="G1030" s="11"/>
      <c r="H1030" s="11"/>
    </row>
    <row r="1031" customFormat="false" ht="18" hidden="false" customHeight="true" outlineLevel="0" collapsed="false">
      <c r="A1031" s="10" t="s">
        <v>249</v>
      </c>
      <c r="B1031" s="10"/>
      <c r="C1031" s="12" t="str">
        <f aca="false">'01 ADMIN_ORDER'!C29&amp;" / "&amp;'01 ADMIN_ORDER'!D29</f>
        <v>FRONTCOURT LOW / LA6616</v>
      </c>
      <c r="D1031" s="12"/>
      <c r="E1031" s="12"/>
      <c r="F1031" s="12"/>
      <c r="G1031" s="12"/>
      <c r="H1031" s="12"/>
    </row>
    <row r="1032" customFormat="false" ht="18" hidden="false" customHeight="true" outlineLevel="0" collapsed="false">
      <c r="A1032" s="10" t="s">
        <v>250</v>
      </c>
      <c r="B1032" s="10"/>
      <c r="C1032" s="12" t="str">
        <f aca="false">'01 ADMIN_ORDER'!E29</f>
        <v>903273886</v>
      </c>
      <c r="D1032" s="12"/>
      <c r="E1032" s="12"/>
      <c r="F1032" s="12"/>
      <c r="G1032" s="12"/>
      <c r="H1032" s="12"/>
    </row>
    <row r="1033" customFormat="false" ht="27.75" hidden="false" customHeight="true" outlineLevel="0" collapsed="false">
      <c r="A1033" s="10" t="s">
        <v>251</v>
      </c>
      <c r="B1033" s="10"/>
      <c r="C1033" s="12" t="str">
        <f aca="false">'01 ADMIN_ORDER'!H29</f>
        <v>EARTH STRATA/OFF WHITE/DARK BROWN</v>
      </c>
      <c r="D1033" s="12"/>
      <c r="E1033" s="12"/>
      <c r="F1033" s="12"/>
      <c r="G1033" s="12"/>
      <c r="H1033" s="12"/>
    </row>
    <row r="1034" customFormat="false" ht="18" hidden="false" customHeight="true" outlineLevel="0" collapsed="false">
      <c r="A1034" s="10" t="s">
        <v>252</v>
      </c>
      <c r="B1034" s="10"/>
      <c r="C1034" s="12" t="str">
        <f aca="false">'01 ADMIN_ORDER'!B29&amp;" / "&amp;'01 ADMIN_ORDER'!G29</f>
        <v>A-19 / Italy (Zalando)</v>
      </c>
      <c r="D1034" s="12"/>
      <c r="E1034" s="12"/>
      <c r="F1034" s="12"/>
      <c r="G1034" s="12"/>
      <c r="H1034" s="12"/>
    </row>
    <row r="1035" customFormat="false" ht="18" hidden="false" customHeight="true" outlineLevel="0" collapsed="false">
      <c r="A1035" s="10" t="s">
        <v>253</v>
      </c>
      <c r="B1035" s="10"/>
      <c r="C1035" s="13" t="str">
        <f aca="false">'01 ADMIN_ORDER'!I29&amp;" / "&amp;IF('04 KESIAPAN'!B29="","UOM BELUM DIISI",'04 KESIAPAN'!B29)</f>
        <v>350 / UOM BELUM DIISI</v>
      </c>
      <c r="D1035" s="13"/>
      <c r="E1035" s="13"/>
      <c r="F1035" s="13"/>
      <c r="G1035" s="13"/>
      <c r="H1035" s="13"/>
    </row>
    <row r="1036" customFormat="false" ht="18" hidden="false" customHeight="true" outlineLevel="0" collapsed="false">
      <c r="A1036" s="13" t="str">
        <f aca="false">IF('04 KESIAPAN'!C29="","SISTEM UKURAN BELUM DIISI",'04 KESIAPAN'!C29)&amp;" | Tanda -: "&amp;IF('04 KESIAPAN'!D29="","BELUM DIKONFIRMASI",'04 KESIAPAN'!D29)</f>
        <v>SISTEM UKURAN BELUM DIISI | Tanda -: BELUM DIKONFIRMASI</v>
      </c>
      <c r="B1036" s="13"/>
      <c r="C1036" s="13"/>
      <c r="D1036" s="13"/>
      <c r="E1036" s="13"/>
      <c r="F1036" s="13"/>
      <c r="G1036" s="13"/>
      <c r="H1036" s="13"/>
    </row>
    <row r="1037" customFormat="false" ht="18" hidden="false" customHeight="true" outlineLevel="0" collapsed="false">
      <c r="A1037" s="7" t="s">
        <v>254</v>
      </c>
      <c r="B1037" s="7"/>
      <c r="C1037" s="7"/>
      <c r="D1037" s="7"/>
      <c r="E1037" s="7"/>
      <c r="F1037" s="7"/>
      <c r="G1037" s="7"/>
      <c r="H1037" s="7"/>
    </row>
    <row r="1038" customFormat="false" ht="18" hidden="false" customHeight="true" outlineLevel="0" collapsed="false">
      <c r="A1038" s="14" t="s">
        <v>214</v>
      </c>
      <c r="B1038" s="0" t="n">
        <f aca="false">'02 SIZE_RUN'!D29</f>
        <v>0</v>
      </c>
      <c r="C1038" s="14" t="s">
        <v>215</v>
      </c>
      <c r="D1038" s="0" t="n">
        <f aca="false">'02 SIZE_RUN'!E29</f>
        <v>0</v>
      </c>
      <c r="E1038" s="14" t="s">
        <v>216</v>
      </c>
      <c r="F1038" s="0" t="n">
        <f aca="false">'02 SIZE_RUN'!F29</f>
        <v>0</v>
      </c>
      <c r="G1038" s="14" t="s">
        <v>217</v>
      </c>
      <c r="H1038" s="0" t="n">
        <f aca="false">'02 SIZE_RUN'!G29</f>
        <v>0</v>
      </c>
    </row>
    <row r="1039" customFormat="false" ht="18" hidden="false" customHeight="true" outlineLevel="0" collapsed="false">
      <c r="A1039" s="14" t="s">
        <v>218</v>
      </c>
      <c r="B1039" s="0" t="n">
        <f aca="false">'02 SIZE_RUN'!H29</f>
        <v>0</v>
      </c>
      <c r="C1039" s="14" t="s">
        <v>219</v>
      </c>
      <c r="D1039" s="0" t="n">
        <f aca="false">'02 SIZE_RUN'!I29</f>
        <v>0</v>
      </c>
      <c r="E1039" s="14" t="s">
        <v>220</v>
      </c>
      <c r="F1039" s="0" t="n">
        <f aca="false">'02 SIZE_RUN'!J29</f>
        <v>0</v>
      </c>
      <c r="G1039" s="14" t="s">
        <v>221</v>
      </c>
      <c r="H1039" s="0" t="n">
        <f aca="false">'02 SIZE_RUN'!K29</f>
        <v>5</v>
      </c>
    </row>
    <row r="1040" customFormat="false" ht="18" hidden="false" customHeight="true" outlineLevel="0" collapsed="false">
      <c r="A1040" s="14" t="s">
        <v>222</v>
      </c>
      <c r="B1040" s="0" t="n">
        <f aca="false">'02 SIZE_RUN'!L29</f>
        <v>50</v>
      </c>
      <c r="C1040" s="14" t="s">
        <v>223</v>
      </c>
      <c r="D1040" s="0" t="n">
        <f aca="false">'02 SIZE_RUN'!M29</f>
        <v>45</v>
      </c>
      <c r="E1040" s="14" t="s">
        <v>224</v>
      </c>
      <c r="F1040" s="0" t="n">
        <f aca="false">'02 SIZE_RUN'!N29</f>
        <v>5</v>
      </c>
      <c r="G1040" s="14" t="s">
        <v>225</v>
      </c>
      <c r="H1040" s="0" t="n">
        <f aca="false">'02 SIZE_RUN'!O29</f>
        <v>60</v>
      </c>
    </row>
    <row r="1041" customFormat="false" ht="18" hidden="false" customHeight="true" outlineLevel="0" collapsed="false">
      <c r="A1041" s="14" t="s">
        <v>226</v>
      </c>
      <c r="B1041" s="0" t="n">
        <f aca="false">'02 SIZE_RUN'!P29</f>
        <v>50</v>
      </c>
      <c r="C1041" s="14" t="s">
        <v>227</v>
      </c>
      <c r="D1041" s="0" t="n">
        <f aca="false">'02 SIZE_RUN'!Q29</f>
        <v>5</v>
      </c>
      <c r="E1041" s="14" t="s">
        <v>228</v>
      </c>
      <c r="F1041" s="0" t="n">
        <f aca="false">'02 SIZE_RUN'!R29</f>
        <v>65</v>
      </c>
      <c r="G1041" s="14" t="s">
        <v>229</v>
      </c>
      <c r="H1041" s="0" t="n">
        <f aca="false">'02 SIZE_RUN'!S29</f>
        <v>40</v>
      </c>
    </row>
    <row r="1042" customFormat="false" ht="18" hidden="false" customHeight="true" outlineLevel="0" collapsed="false">
      <c r="A1042" s="14" t="s">
        <v>230</v>
      </c>
      <c r="B1042" s="0" t="n">
        <f aca="false">'02 SIZE_RUN'!T29</f>
        <v>5</v>
      </c>
      <c r="C1042" s="14" t="s">
        <v>231</v>
      </c>
      <c r="D1042" s="0" t="n">
        <f aca="false">'02 SIZE_RUN'!U29</f>
        <v>15</v>
      </c>
      <c r="E1042" s="14" t="s">
        <v>232</v>
      </c>
      <c r="F1042" s="0" t="n">
        <f aca="false">'02 SIZE_RUN'!V29</f>
        <v>5</v>
      </c>
      <c r="G1042" s="14" t="s">
        <v>233</v>
      </c>
      <c r="H1042" s="0" t="n">
        <f aca="false">'02 SIZE_RUN'!W29</f>
        <v>0</v>
      </c>
    </row>
    <row r="1043" customFormat="false" ht="18" hidden="false" customHeight="true" outlineLevel="0" collapsed="false">
      <c r="A1043" s="14" t="s">
        <v>234</v>
      </c>
      <c r="B1043" s="0" t="n">
        <f aca="false">'02 SIZE_RUN'!X29</f>
        <v>0</v>
      </c>
      <c r="C1043" s="14" t="s">
        <v>235</v>
      </c>
      <c r="D1043" s="0" t="n">
        <f aca="false">'02 SIZE_RUN'!Y29</f>
        <v>0</v>
      </c>
      <c r="E1043" s="14" t="s">
        <v>236</v>
      </c>
      <c r="F1043" s="0" t="n">
        <f aca="false">'02 SIZE_RUN'!Z29</f>
        <v>0</v>
      </c>
      <c r="G1043" s="14" t="s">
        <v>237</v>
      </c>
      <c r="H1043" s="0" t="n">
        <f aca="false">'02 SIZE_RUN'!AA29</f>
        <v>0</v>
      </c>
    </row>
    <row r="1044" customFormat="false" ht="18" hidden="false" customHeight="true" outlineLevel="0" collapsed="false">
      <c r="A1044" s="14" t="s">
        <v>238</v>
      </c>
      <c r="B1044" s="0" t="n">
        <f aca="false">'02 SIZE_RUN'!AB29</f>
        <v>0</v>
      </c>
      <c r="C1044" s="14" t="s">
        <v>239</v>
      </c>
      <c r="D1044" s="0" t="n">
        <f aca="false">'02 SIZE_RUN'!AC29</f>
        <v>0</v>
      </c>
      <c r="E1044" s="14" t="s">
        <v>240</v>
      </c>
      <c r="F1044" s="0" t="n">
        <f aca="false">'02 SIZE_RUN'!AD29</f>
        <v>0</v>
      </c>
      <c r="G1044" s="14" t="s">
        <v>241</v>
      </c>
      <c r="H1044" s="0" t="n">
        <f aca="false">'02 SIZE_RUN'!AE29</f>
        <v>0</v>
      </c>
    </row>
    <row r="1045" customFormat="false" ht="18" hidden="false" customHeight="true" outlineLevel="0" collapsed="false">
      <c r="A1045" s="14" t="s">
        <v>242</v>
      </c>
      <c r="B1045" s="0" t="n">
        <f aca="false">'02 SIZE_RUN'!AF29</f>
        <v>0</v>
      </c>
    </row>
    <row r="1046" customFormat="false" ht="18" hidden="false" customHeight="true" outlineLevel="0" collapsed="false">
      <c r="A1046" s="10" t="str">
        <f aca="false">"TOTAL SIZE: "&amp;'02 SIZE_RUN'!AG29&amp;" | SELISIH: "&amp;'02 SIZE_RUN'!AH29</f>
        <v>TOTAL SIZE: 350 | SELISIH: 0</v>
      </c>
      <c r="B1046" s="10"/>
      <c r="C1046" s="10"/>
      <c r="D1046" s="10"/>
      <c r="E1046" s="10"/>
      <c r="F1046" s="10"/>
      <c r="G1046" s="10"/>
      <c r="H1046" s="10"/>
    </row>
    <row r="1047" customFormat="false" ht="18" hidden="false" customHeight="true" outlineLevel="0" collapsed="false">
      <c r="A1047" s="10" t="s">
        <v>255</v>
      </c>
      <c r="B1047" s="10"/>
      <c r="C1047" s="10"/>
      <c r="D1047" s="13" t="str">
        <f aca="false">IF('01 ADMIN_ORDER'!P29="","BELUM DITETAPKAN",TEXT('01 ADMIN_ORDER'!P29,"dd mmm yyyy"))</f>
        <v>BELUM DITETAPKAN</v>
      </c>
      <c r="E1047" s="13"/>
      <c r="F1047" s="13"/>
      <c r="G1047" s="13"/>
      <c r="H1047" s="13"/>
    </row>
    <row r="1048" customFormat="false" ht="18" hidden="false" customHeight="true" outlineLevel="0" collapsed="false">
      <c r="A1048" s="10" t="s">
        <v>256</v>
      </c>
      <c r="B1048" s="10"/>
      <c r="C1048" s="10"/>
      <c r="D1048" s="13" t="str">
        <f aca="false">IF('01 ADMIN_ORDER'!Q29="","BELUM DITETAPKAN",TEXT('01 ADMIN_ORDER'!Q29,"dd mmm yyyy"))</f>
        <v>BELUM DITETAPKAN</v>
      </c>
      <c r="E1048" s="13"/>
      <c r="F1048" s="13"/>
      <c r="G1048" s="13"/>
      <c r="H1048" s="13"/>
    </row>
    <row r="1049" customFormat="false" ht="25.5" hidden="false" customHeight="true" outlineLevel="0" collapsed="false">
      <c r="A1049" s="12" t="str">
        <f aca="false">"REFERENSI ASSEMBLY (bukan target upper): "&amp;TEXT('01 ADMIN_ORDER'!M29,"dd mmm yyyy")&amp;" - "&amp;TEXT('01 ADMIN_ORDER'!N29,"dd mmm yyyy")</f>
        <v>REFERENSI ASSEMBLY (bukan target upper): 16 Oct 2026 - 16 Oct 2026</v>
      </c>
      <c r="B1049" s="12"/>
      <c r="C1049" s="12"/>
      <c r="D1049" s="12"/>
      <c r="E1049" s="12"/>
      <c r="F1049" s="12"/>
      <c r="G1049" s="12"/>
      <c r="H1049" s="12"/>
    </row>
    <row r="1050" customFormat="false" ht="18" hidden="false" customHeight="true" outlineLevel="0" collapsed="false">
      <c r="A1050" s="10" t="s">
        <v>257</v>
      </c>
      <c r="B1050" s="10"/>
      <c r="C1050" s="10"/>
      <c r="D1050" s="13" t="str">
        <f aca="false">IF('04 KESIAPAN'!G29="","BELUM DIISI",'04 KESIAPAN'!G29)</f>
        <v>BELUM DIISI</v>
      </c>
      <c r="E1050" s="13"/>
      <c r="F1050" s="13"/>
      <c r="G1050" s="13"/>
      <c r="H1050" s="13"/>
    </row>
    <row r="1051" customFormat="false" ht="18" hidden="false" customHeight="true" outlineLevel="0" collapsed="false">
      <c r="A1051" s="10" t="s">
        <v>258</v>
      </c>
      <c r="B1051" s="10"/>
      <c r="C1051" s="10"/>
      <c r="D1051" s="13" t="str">
        <f aca="false">IF('04 KESIAPAN'!H29="","BELUM DIISI",'04 KESIAPAN'!H29)</f>
        <v>BELUM DIISI</v>
      </c>
      <c r="E1051" s="13"/>
      <c r="F1051" s="13"/>
      <c r="G1051" s="13"/>
      <c r="H1051" s="13"/>
    </row>
    <row r="1052" customFormat="false" ht="18" hidden="false" customHeight="true" outlineLevel="0" collapsed="false">
      <c r="A1052" s="10" t="s">
        <v>259</v>
      </c>
      <c r="B1052" s="10"/>
      <c r="C1052" s="10"/>
      <c r="D1052" s="13" t="str">
        <f aca="false">IF('04 KESIAPAN'!I29="","BELUM DIISI",'04 KESIAPAN'!I29)</f>
        <v>BELUM DIISI</v>
      </c>
      <c r="E1052" s="13"/>
      <c r="F1052" s="13"/>
      <c r="G1052" s="13"/>
      <c r="H1052" s="13"/>
    </row>
    <row r="1053" customFormat="false" ht="18" hidden="false" customHeight="true" outlineLevel="0" collapsed="false">
      <c r="A1053" s="10" t="s">
        <v>260</v>
      </c>
      <c r="B1053" s="10"/>
      <c r="C1053" s="10"/>
      <c r="D1053" s="13" t="str">
        <f aca="false">IF('04 KESIAPAN'!K29="","BELUM DIISI",'04 KESIAPAN'!K29)</f>
        <v>BELUM DIISI</v>
      </c>
      <c r="E1053" s="13"/>
      <c r="F1053" s="13"/>
      <c r="G1053" s="13"/>
      <c r="H1053" s="13"/>
    </row>
    <row r="1054" customFormat="false" ht="18" hidden="false" customHeight="true" outlineLevel="0" collapsed="false">
      <c r="A1054" s="10" t="s">
        <v>261</v>
      </c>
      <c r="B1054" s="10"/>
      <c r="C1054" s="10"/>
      <c r="D1054" s="13" t="str">
        <f aca="false">IF('04 KESIAPAN'!L29="","BELUM DIISI",'04 KESIAPAN'!L29)</f>
        <v>BELUM DIISI</v>
      </c>
      <c r="E1054" s="13"/>
      <c r="F1054" s="13"/>
      <c r="G1054" s="13"/>
      <c r="H1054" s="13"/>
    </row>
    <row r="1055" customFormat="false" ht="18" hidden="false" customHeight="true" outlineLevel="0" collapsed="false">
      <c r="A1055" s="10" t="s">
        <v>262</v>
      </c>
      <c r="B1055" s="10"/>
      <c r="C1055" s="10"/>
      <c r="D1055" s="13" t="str">
        <f aca="false">IF('04 KESIAPAN'!N29="","BELUM DIISI",'04 KESIAPAN'!N29)</f>
        <v>BELUM DIISI</v>
      </c>
      <c r="E1055" s="13"/>
      <c r="F1055" s="13"/>
      <c r="G1055" s="13"/>
      <c r="H1055" s="13"/>
    </row>
    <row r="1056" customFormat="false" ht="18" hidden="false" customHeight="true" outlineLevel="0" collapsed="false">
      <c r="A1056" s="10" t="s">
        <v>263</v>
      </c>
      <c r="B1056" s="10"/>
      <c r="C1056" s="10"/>
      <c r="D1056" s="13" t="str">
        <f aca="false">IF('04 KESIAPAN'!P29="","BELUM DIISI",'04 KESIAPAN'!P29)</f>
        <v>BELUM DIISI</v>
      </c>
      <c r="E1056" s="13"/>
      <c r="F1056" s="13"/>
      <c r="G1056" s="13"/>
      <c r="H1056" s="13"/>
    </row>
    <row r="1057" customFormat="false" ht="18" hidden="false" customHeight="true" outlineLevel="0" collapsed="false">
      <c r="A1057" s="7" t="s">
        <v>264</v>
      </c>
      <c r="B1057" s="7"/>
      <c r="C1057" s="7"/>
      <c r="D1057" s="7"/>
      <c r="E1057" s="7"/>
      <c r="F1057" s="7"/>
      <c r="G1057" s="7"/>
      <c r="H1057" s="7"/>
    </row>
    <row r="1058" customFormat="false" ht="18" hidden="false" customHeight="true" outlineLevel="0" collapsed="false">
      <c r="A1058" s="13"/>
      <c r="B1058" s="13"/>
      <c r="C1058" s="13"/>
      <c r="D1058" s="13"/>
      <c r="E1058" s="13"/>
      <c r="F1058" s="13"/>
      <c r="G1058" s="13"/>
      <c r="H1058" s="13"/>
    </row>
    <row r="1059" customFormat="false" ht="18" hidden="false" customHeight="true" outlineLevel="0" collapsed="false">
      <c r="A1059" s="13"/>
      <c r="B1059" s="13"/>
      <c r="C1059" s="13"/>
      <c r="D1059" s="13"/>
      <c r="E1059" s="13"/>
      <c r="F1059" s="13"/>
      <c r="G1059" s="13"/>
      <c r="H1059" s="13"/>
    </row>
    <row r="1060" customFormat="false" ht="18" hidden="false" customHeight="true" outlineLevel="0" collapsed="false">
      <c r="A1060" s="13"/>
      <c r="B1060" s="13"/>
      <c r="C1060" s="13"/>
      <c r="D1060" s="13"/>
      <c r="E1060" s="13"/>
      <c r="F1060" s="13"/>
      <c r="G1060" s="13"/>
      <c r="H1060" s="13"/>
    </row>
    <row r="1061" customFormat="false" ht="18" hidden="false" customHeight="true" outlineLevel="0" collapsed="false">
      <c r="A1061" s="12" t="s">
        <v>265</v>
      </c>
      <c r="B1061" s="12"/>
      <c r="C1061" s="12"/>
      <c r="D1061" s="12"/>
      <c r="E1061" s="12" t="s">
        <v>266</v>
      </c>
      <c r="F1061" s="12"/>
      <c r="G1061" s="12"/>
      <c r="H1061" s="12"/>
    </row>
    <row r="1062" customFormat="false" ht="18" hidden="false" customHeight="true" outlineLevel="0" collapsed="false">
      <c r="A1062" s="12" t="s">
        <v>294</v>
      </c>
      <c r="B1062" s="12"/>
      <c r="C1062" s="12"/>
      <c r="D1062" s="12"/>
      <c r="E1062" s="12"/>
      <c r="F1062" s="12"/>
      <c r="G1062" s="12"/>
      <c r="H1062" s="12"/>
    </row>
    <row r="1063" customFormat="false" ht="18" hidden="false" customHeight="true" outlineLevel="0" collapsed="false"/>
    <row r="1064" customFormat="false" ht="18" hidden="false" customHeight="true" outlineLevel="0" collapsed="false"/>
    <row r="1065" customFormat="false" ht="25.5" hidden="false" customHeight="true" outlineLevel="0" collapsed="false">
      <c r="A1065" s="7" t="s">
        <v>246</v>
      </c>
      <c r="B1065" s="7"/>
      <c r="C1065" s="7"/>
      <c r="D1065" s="7"/>
      <c r="E1065" s="7"/>
      <c r="F1065" s="7"/>
      <c r="G1065" s="7"/>
      <c r="H1065" s="7"/>
    </row>
    <row r="1066" customFormat="false" ht="18" hidden="false" customHeight="true" outlineLevel="0" collapsed="false">
      <c r="A1066" s="8" t="str">
        <f aca="false">'01 ADMIN_ORDER'!R30</f>
        <v>DRAFT - PERLU VERIFIKASI</v>
      </c>
      <c r="B1066" s="8"/>
      <c r="C1066" s="8"/>
      <c r="D1066" s="8"/>
      <c r="E1066" s="8"/>
      <c r="F1066" s="8"/>
      <c r="G1066" s="8"/>
      <c r="H1066" s="8"/>
    </row>
    <row r="1067" customFormat="false" ht="18" hidden="false" customHeight="true" outlineLevel="0" collapsed="false">
      <c r="A1067" s="9" t="s">
        <v>247</v>
      </c>
      <c r="B1067" s="9"/>
      <c r="C1067" s="9"/>
      <c r="D1067" s="9"/>
      <c r="E1067" s="9"/>
      <c r="F1067" s="9"/>
      <c r="G1067" s="9"/>
      <c r="H1067" s="9"/>
    </row>
    <row r="1068" customFormat="false" ht="18" hidden="false" customHeight="true" outlineLevel="0" collapsed="false">
      <c r="A1068" s="10" t="s">
        <v>248</v>
      </c>
      <c r="B1068" s="10"/>
      <c r="C1068" s="11" t="str">
        <f aca="false">'01 ADMIN_ORDER'!A30</f>
        <v>165/10/29 (59)</v>
      </c>
      <c r="D1068" s="11"/>
      <c r="E1068" s="11"/>
      <c r="F1068" s="11"/>
      <c r="G1068" s="11"/>
      <c r="H1068" s="11"/>
    </row>
    <row r="1069" customFormat="false" ht="18" hidden="false" customHeight="true" outlineLevel="0" collapsed="false">
      <c r="A1069" s="10" t="s">
        <v>249</v>
      </c>
      <c r="B1069" s="10"/>
      <c r="C1069" s="12" t="str">
        <f aca="false">'01 ADMIN_ORDER'!C30&amp;" / "&amp;'01 ADMIN_ORDER'!D30</f>
        <v>FRONTCOURT LOW / LA6616</v>
      </c>
      <c r="D1069" s="12"/>
      <c r="E1069" s="12"/>
      <c r="F1069" s="12"/>
      <c r="G1069" s="12"/>
      <c r="H1069" s="12"/>
    </row>
    <row r="1070" customFormat="false" ht="18" hidden="false" customHeight="true" outlineLevel="0" collapsed="false">
      <c r="A1070" s="10" t="s">
        <v>250</v>
      </c>
      <c r="B1070" s="10"/>
      <c r="C1070" s="12" t="str">
        <f aca="false">'01 ADMIN_ORDER'!E30</f>
        <v>903414644</v>
      </c>
      <c r="D1070" s="12"/>
      <c r="E1070" s="12"/>
      <c r="F1070" s="12"/>
      <c r="G1070" s="12"/>
      <c r="H1070" s="12"/>
    </row>
    <row r="1071" customFormat="false" ht="27.75" hidden="false" customHeight="true" outlineLevel="0" collapsed="false">
      <c r="A1071" s="10" t="s">
        <v>251</v>
      </c>
      <c r="B1071" s="10"/>
      <c r="C1071" s="12" t="str">
        <f aca="false">'01 ADMIN_ORDER'!H30</f>
        <v>EARTH STRATA/OFF WHITE/DARK BROWN</v>
      </c>
      <c r="D1071" s="12"/>
      <c r="E1071" s="12"/>
      <c r="F1071" s="12"/>
      <c r="G1071" s="12"/>
      <c r="H1071" s="12"/>
    </row>
    <row r="1072" customFormat="false" ht="18" hidden="false" customHeight="true" outlineLevel="0" collapsed="false">
      <c r="A1072" s="10" t="s">
        <v>252</v>
      </c>
      <c r="B1072" s="10"/>
      <c r="C1072" s="12" t="str">
        <f aca="false">'01 ADMIN_ORDER'!B30&amp;" / "&amp;'01 ADMIN_ORDER'!G30</f>
        <v>A-19 / Germany (Zalando)</v>
      </c>
      <c r="D1072" s="12"/>
      <c r="E1072" s="12"/>
      <c r="F1072" s="12"/>
      <c r="G1072" s="12"/>
      <c r="H1072" s="12"/>
    </row>
    <row r="1073" customFormat="false" ht="18" hidden="false" customHeight="true" outlineLevel="0" collapsed="false">
      <c r="A1073" s="10" t="s">
        <v>253</v>
      </c>
      <c r="B1073" s="10"/>
      <c r="C1073" s="13" t="str">
        <f aca="false">'01 ADMIN_ORDER'!I30&amp;" / "&amp;IF('04 KESIAPAN'!B30="","UOM BELUM DIISI",'04 KESIAPAN'!B30)</f>
        <v>362 / UOM BELUM DIISI</v>
      </c>
      <c r="D1073" s="13"/>
      <c r="E1073" s="13"/>
      <c r="F1073" s="13"/>
      <c r="G1073" s="13"/>
      <c r="H1073" s="13"/>
    </row>
    <row r="1074" customFormat="false" ht="18" hidden="false" customHeight="true" outlineLevel="0" collapsed="false">
      <c r="A1074" s="13" t="str">
        <f aca="false">IF('04 KESIAPAN'!C30="","SISTEM UKURAN BELUM DIISI",'04 KESIAPAN'!C30)&amp;" | Tanda -: "&amp;IF('04 KESIAPAN'!D30="","BELUM DIKONFIRMASI",'04 KESIAPAN'!D30)</f>
        <v>SISTEM UKURAN BELUM DIISI | Tanda -: BELUM DIKONFIRMASI</v>
      </c>
      <c r="B1074" s="13"/>
      <c r="C1074" s="13"/>
      <c r="D1074" s="13"/>
      <c r="E1074" s="13"/>
      <c r="F1074" s="13"/>
      <c r="G1074" s="13"/>
      <c r="H1074" s="13"/>
    </row>
    <row r="1075" customFormat="false" ht="18" hidden="false" customHeight="true" outlineLevel="0" collapsed="false">
      <c r="A1075" s="7" t="s">
        <v>254</v>
      </c>
      <c r="B1075" s="7"/>
      <c r="C1075" s="7"/>
      <c r="D1075" s="7"/>
      <c r="E1075" s="7"/>
      <c r="F1075" s="7"/>
      <c r="G1075" s="7"/>
      <c r="H1075" s="7"/>
    </row>
    <row r="1076" customFormat="false" ht="18" hidden="false" customHeight="true" outlineLevel="0" collapsed="false">
      <c r="A1076" s="14" t="s">
        <v>214</v>
      </c>
      <c r="B1076" s="0" t="n">
        <f aca="false">'02 SIZE_RUN'!D30</f>
        <v>0</v>
      </c>
      <c r="C1076" s="14" t="s">
        <v>215</v>
      </c>
      <c r="D1076" s="0" t="n">
        <f aca="false">'02 SIZE_RUN'!E30</f>
        <v>1</v>
      </c>
      <c r="E1076" s="14" t="s">
        <v>216</v>
      </c>
      <c r="F1076" s="0" t="n">
        <f aca="false">'02 SIZE_RUN'!F30</f>
        <v>1</v>
      </c>
      <c r="G1076" s="14" t="s">
        <v>217</v>
      </c>
      <c r="H1076" s="0" t="n">
        <f aca="false">'02 SIZE_RUN'!G30</f>
        <v>1</v>
      </c>
    </row>
    <row r="1077" customFormat="false" ht="18" hidden="false" customHeight="true" outlineLevel="0" collapsed="false">
      <c r="A1077" s="14" t="s">
        <v>218</v>
      </c>
      <c r="B1077" s="0" t="n">
        <f aca="false">'02 SIZE_RUN'!H30</f>
        <v>1</v>
      </c>
      <c r="C1077" s="14" t="s">
        <v>219</v>
      </c>
      <c r="D1077" s="0" t="n">
        <f aca="false">'02 SIZE_RUN'!I30</f>
        <v>2</v>
      </c>
      <c r="E1077" s="14" t="s">
        <v>220</v>
      </c>
      <c r="F1077" s="0" t="n">
        <f aca="false">'02 SIZE_RUN'!J30</f>
        <v>5</v>
      </c>
      <c r="G1077" s="14" t="s">
        <v>221</v>
      </c>
      <c r="H1077" s="0" t="n">
        <f aca="false">'02 SIZE_RUN'!K30</f>
        <v>7</v>
      </c>
    </row>
    <row r="1078" customFormat="false" ht="18" hidden="false" customHeight="true" outlineLevel="0" collapsed="false">
      <c r="A1078" s="14" t="s">
        <v>222</v>
      </c>
      <c r="B1078" s="0" t="n">
        <f aca="false">'02 SIZE_RUN'!L30</f>
        <v>11</v>
      </c>
      <c r="C1078" s="14" t="s">
        <v>223</v>
      </c>
      <c r="D1078" s="0" t="n">
        <f aca="false">'02 SIZE_RUN'!M30</f>
        <v>13</v>
      </c>
      <c r="E1078" s="14" t="s">
        <v>224</v>
      </c>
      <c r="F1078" s="0" t="n">
        <f aca="false">'02 SIZE_RUN'!N30</f>
        <v>38</v>
      </c>
      <c r="G1078" s="14" t="s">
        <v>225</v>
      </c>
      <c r="H1078" s="0" t="n">
        <f aca="false">'02 SIZE_RUN'!O30</f>
        <v>30</v>
      </c>
    </row>
    <row r="1079" customFormat="false" ht="18" hidden="false" customHeight="true" outlineLevel="0" collapsed="false">
      <c r="A1079" s="14" t="s">
        <v>226</v>
      </c>
      <c r="B1079" s="0" t="n">
        <f aca="false">'02 SIZE_RUN'!P30</f>
        <v>109</v>
      </c>
      <c r="C1079" s="14" t="s">
        <v>227</v>
      </c>
      <c r="D1079" s="0" t="n">
        <f aca="false">'02 SIZE_RUN'!Q30</f>
        <v>53</v>
      </c>
      <c r="E1079" s="14" t="s">
        <v>228</v>
      </c>
      <c r="F1079" s="0" t="n">
        <f aca="false">'02 SIZE_RUN'!R30</f>
        <v>33</v>
      </c>
      <c r="G1079" s="14" t="s">
        <v>229</v>
      </c>
      <c r="H1079" s="0" t="n">
        <f aca="false">'02 SIZE_RUN'!S30</f>
        <v>26</v>
      </c>
    </row>
    <row r="1080" customFormat="false" ht="18" hidden="false" customHeight="true" outlineLevel="0" collapsed="false">
      <c r="A1080" s="14" t="s">
        <v>230</v>
      </c>
      <c r="B1080" s="0" t="n">
        <f aca="false">'02 SIZE_RUN'!T30</f>
        <v>17</v>
      </c>
      <c r="C1080" s="14" t="s">
        <v>231</v>
      </c>
      <c r="D1080" s="0" t="n">
        <f aca="false">'02 SIZE_RUN'!U30</f>
        <v>2</v>
      </c>
      <c r="E1080" s="14" t="s">
        <v>232</v>
      </c>
      <c r="F1080" s="0" t="n">
        <f aca="false">'02 SIZE_RUN'!V30</f>
        <v>12</v>
      </c>
      <c r="G1080" s="14" t="s">
        <v>233</v>
      </c>
      <c r="H1080" s="0" t="n">
        <f aca="false">'02 SIZE_RUN'!W30</f>
        <v>0</v>
      </c>
    </row>
    <row r="1081" customFormat="false" ht="18" hidden="false" customHeight="true" outlineLevel="0" collapsed="false">
      <c r="A1081" s="14" t="s">
        <v>234</v>
      </c>
      <c r="B1081" s="0" t="n">
        <f aca="false">'02 SIZE_RUN'!X30</f>
        <v>0</v>
      </c>
      <c r="C1081" s="14" t="s">
        <v>235</v>
      </c>
      <c r="D1081" s="0" t="n">
        <f aca="false">'02 SIZE_RUN'!Y30</f>
        <v>0</v>
      </c>
      <c r="E1081" s="14" t="s">
        <v>236</v>
      </c>
      <c r="F1081" s="0" t="n">
        <f aca="false">'02 SIZE_RUN'!Z30</f>
        <v>0</v>
      </c>
      <c r="G1081" s="14" t="s">
        <v>237</v>
      </c>
      <c r="H1081" s="0" t="n">
        <f aca="false">'02 SIZE_RUN'!AA30</f>
        <v>0</v>
      </c>
    </row>
    <row r="1082" customFormat="false" ht="18" hidden="false" customHeight="true" outlineLevel="0" collapsed="false">
      <c r="A1082" s="14" t="s">
        <v>238</v>
      </c>
      <c r="B1082" s="0" t="n">
        <f aca="false">'02 SIZE_RUN'!AB30</f>
        <v>0</v>
      </c>
      <c r="C1082" s="14" t="s">
        <v>239</v>
      </c>
      <c r="D1082" s="0" t="n">
        <f aca="false">'02 SIZE_RUN'!AC30</f>
        <v>0</v>
      </c>
      <c r="E1082" s="14" t="s">
        <v>240</v>
      </c>
      <c r="F1082" s="0" t="n">
        <f aca="false">'02 SIZE_RUN'!AD30</f>
        <v>0</v>
      </c>
      <c r="G1082" s="14" t="s">
        <v>241</v>
      </c>
      <c r="H1082" s="0" t="n">
        <f aca="false">'02 SIZE_RUN'!AE30</f>
        <v>0</v>
      </c>
    </row>
    <row r="1083" customFormat="false" ht="18" hidden="false" customHeight="true" outlineLevel="0" collapsed="false">
      <c r="A1083" s="14" t="s">
        <v>242</v>
      </c>
      <c r="B1083" s="0" t="n">
        <f aca="false">'02 SIZE_RUN'!AF30</f>
        <v>0</v>
      </c>
    </row>
    <row r="1084" customFormat="false" ht="18" hidden="false" customHeight="true" outlineLevel="0" collapsed="false">
      <c r="A1084" s="10" t="str">
        <f aca="false">"TOTAL SIZE: "&amp;'02 SIZE_RUN'!AG30&amp;" | SELISIH: "&amp;'02 SIZE_RUN'!AH30</f>
        <v>TOTAL SIZE: 362 | SELISIH: 0</v>
      </c>
      <c r="B1084" s="10"/>
      <c r="C1084" s="10"/>
      <c r="D1084" s="10"/>
      <c r="E1084" s="10"/>
      <c r="F1084" s="10"/>
      <c r="G1084" s="10"/>
      <c r="H1084" s="10"/>
    </row>
    <row r="1085" customFormat="false" ht="18" hidden="false" customHeight="true" outlineLevel="0" collapsed="false">
      <c r="A1085" s="10" t="s">
        <v>255</v>
      </c>
      <c r="B1085" s="10"/>
      <c r="C1085" s="10"/>
      <c r="D1085" s="13" t="str">
        <f aca="false">IF('01 ADMIN_ORDER'!P30="","BELUM DITETAPKAN",TEXT('01 ADMIN_ORDER'!P30,"dd mmm yyyy"))</f>
        <v>BELUM DITETAPKAN</v>
      </c>
      <c r="E1085" s="13"/>
      <c r="F1085" s="13"/>
      <c r="G1085" s="13"/>
      <c r="H1085" s="13"/>
    </row>
    <row r="1086" customFormat="false" ht="18" hidden="false" customHeight="true" outlineLevel="0" collapsed="false">
      <c r="A1086" s="10" t="s">
        <v>256</v>
      </c>
      <c r="B1086" s="10"/>
      <c r="C1086" s="10"/>
      <c r="D1086" s="13" t="str">
        <f aca="false">IF('01 ADMIN_ORDER'!Q30="","BELUM DITETAPKAN",TEXT('01 ADMIN_ORDER'!Q30,"dd mmm yyyy"))</f>
        <v>BELUM DITETAPKAN</v>
      </c>
      <c r="E1086" s="13"/>
      <c r="F1086" s="13"/>
      <c r="G1086" s="13"/>
      <c r="H1086" s="13"/>
    </row>
    <row r="1087" customFormat="false" ht="25.5" hidden="false" customHeight="true" outlineLevel="0" collapsed="false">
      <c r="A1087" s="12" t="str">
        <f aca="false">"REFERENSI ASSEMBLY (bukan target upper): "&amp;TEXT('01 ADMIN_ORDER'!M30,"dd mmm yyyy")&amp;" - "&amp;TEXT('01 ADMIN_ORDER'!N30,"dd mmm yyyy")</f>
        <v>REFERENSI ASSEMBLY (bukan target upper): 16 Oct 2026 - 16 Oct 2026</v>
      </c>
      <c r="B1087" s="12"/>
      <c r="C1087" s="12"/>
      <c r="D1087" s="12"/>
      <c r="E1087" s="12"/>
      <c r="F1087" s="12"/>
      <c r="G1087" s="12"/>
      <c r="H1087" s="12"/>
    </row>
    <row r="1088" customFormat="false" ht="18" hidden="false" customHeight="true" outlineLevel="0" collapsed="false">
      <c r="A1088" s="10" t="s">
        <v>257</v>
      </c>
      <c r="B1088" s="10"/>
      <c r="C1088" s="10"/>
      <c r="D1088" s="13" t="str">
        <f aca="false">IF('04 KESIAPAN'!G30="","BELUM DIISI",'04 KESIAPAN'!G30)</f>
        <v>BELUM DIISI</v>
      </c>
      <c r="E1088" s="13"/>
      <c r="F1088" s="13"/>
      <c r="G1088" s="13"/>
      <c r="H1088" s="13"/>
    </row>
    <row r="1089" customFormat="false" ht="18" hidden="false" customHeight="true" outlineLevel="0" collapsed="false">
      <c r="A1089" s="10" t="s">
        <v>258</v>
      </c>
      <c r="B1089" s="10"/>
      <c r="C1089" s="10"/>
      <c r="D1089" s="13" t="str">
        <f aca="false">IF('04 KESIAPAN'!H30="","BELUM DIISI",'04 KESIAPAN'!H30)</f>
        <v>BELUM DIISI</v>
      </c>
      <c r="E1089" s="13"/>
      <c r="F1089" s="13"/>
      <c r="G1089" s="13"/>
      <c r="H1089" s="13"/>
    </row>
    <row r="1090" customFormat="false" ht="18" hidden="false" customHeight="true" outlineLevel="0" collapsed="false">
      <c r="A1090" s="10" t="s">
        <v>259</v>
      </c>
      <c r="B1090" s="10"/>
      <c r="C1090" s="10"/>
      <c r="D1090" s="13" t="str">
        <f aca="false">IF('04 KESIAPAN'!I30="","BELUM DIISI",'04 KESIAPAN'!I30)</f>
        <v>BELUM DIISI</v>
      </c>
      <c r="E1090" s="13"/>
      <c r="F1090" s="13"/>
      <c r="G1090" s="13"/>
      <c r="H1090" s="13"/>
    </row>
    <row r="1091" customFormat="false" ht="18" hidden="false" customHeight="true" outlineLevel="0" collapsed="false">
      <c r="A1091" s="10" t="s">
        <v>260</v>
      </c>
      <c r="B1091" s="10"/>
      <c r="C1091" s="10"/>
      <c r="D1091" s="13" t="str">
        <f aca="false">IF('04 KESIAPAN'!K30="","BELUM DIISI",'04 KESIAPAN'!K30)</f>
        <v>BELUM DIISI</v>
      </c>
      <c r="E1091" s="13"/>
      <c r="F1091" s="13"/>
      <c r="G1091" s="13"/>
      <c r="H1091" s="13"/>
    </row>
    <row r="1092" customFormat="false" ht="18" hidden="false" customHeight="true" outlineLevel="0" collapsed="false">
      <c r="A1092" s="10" t="s">
        <v>261</v>
      </c>
      <c r="B1092" s="10"/>
      <c r="C1092" s="10"/>
      <c r="D1092" s="13" t="str">
        <f aca="false">IF('04 KESIAPAN'!L30="","BELUM DIISI",'04 KESIAPAN'!L30)</f>
        <v>BELUM DIISI</v>
      </c>
      <c r="E1092" s="13"/>
      <c r="F1092" s="13"/>
      <c r="G1092" s="13"/>
      <c r="H1092" s="13"/>
    </row>
    <row r="1093" customFormat="false" ht="18" hidden="false" customHeight="true" outlineLevel="0" collapsed="false">
      <c r="A1093" s="10" t="s">
        <v>262</v>
      </c>
      <c r="B1093" s="10"/>
      <c r="C1093" s="10"/>
      <c r="D1093" s="13" t="str">
        <f aca="false">IF('04 KESIAPAN'!N30="","BELUM DIISI",'04 KESIAPAN'!N30)</f>
        <v>BELUM DIISI</v>
      </c>
      <c r="E1093" s="13"/>
      <c r="F1093" s="13"/>
      <c r="G1093" s="13"/>
      <c r="H1093" s="13"/>
    </row>
    <row r="1094" customFormat="false" ht="18" hidden="false" customHeight="true" outlineLevel="0" collapsed="false">
      <c r="A1094" s="10" t="s">
        <v>263</v>
      </c>
      <c r="B1094" s="10"/>
      <c r="C1094" s="10"/>
      <c r="D1094" s="13" t="str">
        <f aca="false">IF('04 KESIAPAN'!P30="","BELUM DIISI",'04 KESIAPAN'!P30)</f>
        <v>BELUM DIISI</v>
      </c>
      <c r="E1094" s="13"/>
      <c r="F1094" s="13"/>
      <c r="G1094" s="13"/>
      <c r="H1094" s="13"/>
    </row>
    <row r="1095" customFormat="false" ht="18" hidden="false" customHeight="true" outlineLevel="0" collapsed="false">
      <c r="A1095" s="7" t="s">
        <v>264</v>
      </c>
      <c r="B1095" s="7"/>
      <c r="C1095" s="7"/>
      <c r="D1095" s="7"/>
      <c r="E1095" s="7"/>
      <c r="F1095" s="7"/>
      <c r="G1095" s="7"/>
      <c r="H1095" s="7"/>
    </row>
    <row r="1096" customFormat="false" ht="18" hidden="false" customHeight="true" outlineLevel="0" collapsed="false">
      <c r="A1096" s="13"/>
      <c r="B1096" s="13"/>
      <c r="C1096" s="13"/>
      <c r="D1096" s="13"/>
      <c r="E1096" s="13"/>
      <c r="F1096" s="13"/>
      <c r="G1096" s="13"/>
      <c r="H1096" s="13"/>
    </row>
    <row r="1097" customFormat="false" ht="18" hidden="false" customHeight="true" outlineLevel="0" collapsed="false">
      <c r="A1097" s="13"/>
      <c r="B1097" s="13"/>
      <c r="C1097" s="13"/>
      <c r="D1097" s="13"/>
      <c r="E1097" s="13"/>
      <c r="F1097" s="13"/>
      <c r="G1097" s="13"/>
      <c r="H1097" s="13"/>
    </row>
    <row r="1098" customFormat="false" ht="18" hidden="false" customHeight="true" outlineLevel="0" collapsed="false">
      <c r="A1098" s="13"/>
      <c r="B1098" s="13"/>
      <c r="C1098" s="13"/>
      <c r="D1098" s="13"/>
      <c r="E1098" s="13"/>
      <c r="F1098" s="13"/>
      <c r="G1098" s="13"/>
      <c r="H1098" s="13"/>
    </row>
    <row r="1099" customFormat="false" ht="18" hidden="false" customHeight="true" outlineLevel="0" collapsed="false">
      <c r="A1099" s="12" t="s">
        <v>265</v>
      </c>
      <c r="B1099" s="12"/>
      <c r="C1099" s="12"/>
      <c r="D1099" s="12"/>
      <c r="E1099" s="12" t="s">
        <v>266</v>
      </c>
      <c r="F1099" s="12"/>
      <c r="G1099" s="12"/>
      <c r="H1099" s="12"/>
    </row>
    <row r="1100" customFormat="false" ht="18" hidden="false" customHeight="true" outlineLevel="0" collapsed="false">
      <c r="A1100" s="12" t="s">
        <v>295</v>
      </c>
      <c r="B1100" s="12"/>
      <c r="C1100" s="12"/>
      <c r="D1100" s="12"/>
      <c r="E1100" s="12"/>
      <c r="F1100" s="12"/>
      <c r="G1100" s="12"/>
      <c r="H1100" s="12"/>
    </row>
    <row r="1101" customFormat="false" ht="18" hidden="false" customHeight="true" outlineLevel="0" collapsed="false"/>
    <row r="1102" customFormat="false" ht="18" hidden="false" customHeight="true" outlineLevel="0" collapsed="false"/>
    <row r="1103" customFormat="false" ht="25.5" hidden="false" customHeight="true" outlineLevel="0" collapsed="false">
      <c r="A1103" s="7" t="s">
        <v>246</v>
      </c>
      <c r="B1103" s="7"/>
      <c r="C1103" s="7"/>
      <c r="D1103" s="7"/>
      <c r="E1103" s="7"/>
      <c r="F1103" s="7"/>
      <c r="G1103" s="7"/>
      <c r="H1103" s="7"/>
    </row>
    <row r="1104" customFormat="false" ht="18" hidden="false" customHeight="true" outlineLevel="0" collapsed="false">
      <c r="A1104" s="8" t="str">
        <f aca="false">'01 ADMIN_ORDER'!R31</f>
        <v>DRAFT - PERLU VERIFIKASI</v>
      </c>
      <c r="B1104" s="8"/>
      <c r="C1104" s="8"/>
      <c r="D1104" s="8"/>
      <c r="E1104" s="8"/>
      <c r="F1104" s="8"/>
      <c r="G1104" s="8"/>
      <c r="H1104" s="8"/>
    </row>
    <row r="1105" customFormat="false" ht="18" hidden="false" customHeight="true" outlineLevel="0" collapsed="false">
      <c r="A1105" s="9" t="s">
        <v>247</v>
      </c>
      <c r="B1105" s="9"/>
      <c r="C1105" s="9"/>
      <c r="D1105" s="9"/>
      <c r="E1105" s="9"/>
      <c r="F1105" s="9"/>
      <c r="G1105" s="9"/>
      <c r="H1105" s="9"/>
    </row>
    <row r="1106" customFormat="false" ht="18" hidden="false" customHeight="true" outlineLevel="0" collapsed="false">
      <c r="A1106" s="10" t="s">
        <v>248</v>
      </c>
      <c r="B1106" s="10"/>
      <c r="C1106" s="11" t="str">
        <f aca="false">'01 ADMIN_ORDER'!A31</f>
        <v>166/10/30 (59)</v>
      </c>
      <c r="D1106" s="11"/>
      <c r="E1106" s="11"/>
      <c r="F1106" s="11"/>
      <c r="G1106" s="11"/>
      <c r="H1106" s="11"/>
    </row>
    <row r="1107" customFormat="false" ht="18" hidden="false" customHeight="true" outlineLevel="0" collapsed="false">
      <c r="A1107" s="10" t="s">
        <v>249</v>
      </c>
      <c r="B1107" s="10"/>
      <c r="C1107" s="12" t="str">
        <f aca="false">'01 ADMIN_ORDER'!C31&amp;" / "&amp;'01 ADMIN_ORDER'!D31</f>
        <v>FRONTCOURT LOW / KH5441</v>
      </c>
      <c r="D1107" s="12"/>
      <c r="E1107" s="12"/>
      <c r="F1107" s="12"/>
      <c r="G1107" s="12"/>
      <c r="H1107" s="12"/>
    </row>
    <row r="1108" customFormat="false" ht="18" hidden="false" customHeight="true" outlineLevel="0" collapsed="false">
      <c r="A1108" s="10" t="s">
        <v>250</v>
      </c>
      <c r="B1108" s="10"/>
      <c r="C1108" s="12" t="str">
        <f aca="false">'01 ADMIN_ORDER'!E31</f>
        <v>903408939</v>
      </c>
      <c r="D1108" s="12"/>
      <c r="E1108" s="12"/>
      <c r="F1108" s="12"/>
      <c r="G1108" s="12"/>
      <c r="H1108" s="12"/>
    </row>
    <row r="1109" customFormat="false" ht="27.75" hidden="false" customHeight="true" outlineLevel="0" collapsed="false">
      <c r="A1109" s="10" t="s">
        <v>251</v>
      </c>
      <c r="B1109" s="10"/>
      <c r="C1109" s="12" t="str">
        <f aca="false">'01 ADMIN_ORDER'!H31</f>
        <v>FTWR WHITE/CORE BLACK/CORE BLACK</v>
      </c>
      <c r="D1109" s="12"/>
      <c r="E1109" s="12"/>
      <c r="F1109" s="12"/>
      <c r="G1109" s="12"/>
      <c r="H1109" s="12"/>
    </row>
    <row r="1110" customFormat="false" ht="18" hidden="false" customHeight="true" outlineLevel="0" collapsed="false">
      <c r="A1110" s="10" t="s">
        <v>252</v>
      </c>
      <c r="B1110" s="10"/>
      <c r="C1110" s="12" t="str">
        <f aca="false">'01 ADMIN_ORDER'!B31&amp;" / "&amp;'01 ADMIN_ORDER'!G31</f>
        <v>A-19 / Germany (Zalando)</v>
      </c>
      <c r="D1110" s="12"/>
      <c r="E1110" s="12"/>
      <c r="F1110" s="12"/>
      <c r="G1110" s="12"/>
      <c r="H1110" s="12"/>
    </row>
    <row r="1111" customFormat="false" ht="18" hidden="false" customHeight="true" outlineLevel="0" collapsed="false">
      <c r="A1111" s="10" t="s">
        <v>253</v>
      </c>
      <c r="B1111" s="10"/>
      <c r="C1111" s="13" t="str">
        <f aca="false">'01 ADMIN_ORDER'!I31&amp;" / "&amp;IF('04 KESIAPAN'!B31="","UOM BELUM DIISI",'04 KESIAPAN'!B31)</f>
        <v>607 / UOM BELUM DIISI</v>
      </c>
      <c r="D1111" s="13"/>
      <c r="E1111" s="13"/>
      <c r="F1111" s="13"/>
      <c r="G1111" s="13"/>
      <c r="H1111" s="13"/>
    </row>
    <row r="1112" customFormat="false" ht="18" hidden="false" customHeight="true" outlineLevel="0" collapsed="false">
      <c r="A1112" s="13" t="str">
        <f aca="false">IF('04 KESIAPAN'!C31="","SISTEM UKURAN BELUM DIISI",'04 KESIAPAN'!C31)&amp;" | Tanda -: "&amp;IF('04 KESIAPAN'!D31="","BELUM DIKONFIRMASI",'04 KESIAPAN'!D31)</f>
        <v>SISTEM UKURAN BELUM DIISI | Tanda -: BELUM DIKONFIRMASI</v>
      </c>
      <c r="B1112" s="13"/>
      <c r="C1112" s="13"/>
      <c r="D1112" s="13"/>
      <c r="E1112" s="13"/>
      <c r="F1112" s="13"/>
      <c r="G1112" s="13"/>
      <c r="H1112" s="13"/>
    </row>
    <row r="1113" customFormat="false" ht="18" hidden="false" customHeight="true" outlineLevel="0" collapsed="false">
      <c r="A1113" s="7" t="s">
        <v>254</v>
      </c>
      <c r="B1113" s="7"/>
      <c r="C1113" s="7"/>
      <c r="D1113" s="7"/>
      <c r="E1113" s="7"/>
      <c r="F1113" s="7"/>
      <c r="G1113" s="7"/>
      <c r="H1113" s="7"/>
    </row>
    <row r="1114" customFormat="false" ht="18" hidden="false" customHeight="true" outlineLevel="0" collapsed="false">
      <c r="A1114" s="14" t="s">
        <v>214</v>
      </c>
      <c r="B1114" s="0" t="n">
        <f aca="false">'02 SIZE_RUN'!D31</f>
        <v>0</v>
      </c>
      <c r="C1114" s="14" t="s">
        <v>215</v>
      </c>
      <c r="D1114" s="0" t="n">
        <f aca="false">'02 SIZE_RUN'!E31</f>
        <v>0</v>
      </c>
      <c r="E1114" s="14" t="s">
        <v>216</v>
      </c>
      <c r="F1114" s="0" t="n">
        <f aca="false">'02 SIZE_RUN'!F31</f>
        <v>0</v>
      </c>
      <c r="G1114" s="14" t="s">
        <v>217</v>
      </c>
      <c r="H1114" s="0" t="n">
        <f aca="false">'02 SIZE_RUN'!G31</f>
        <v>0</v>
      </c>
    </row>
    <row r="1115" customFormat="false" ht="18" hidden="false" customHeight="true" outlineLevel="0" collapsed="false">
      <c r="A1115" s="14" t="s">
        <v>218</v>
      </c>
      <c r="B1115" s="0" t="n">
        <f aca="false">'02 SIZE_RUN'!H31</f>
        <v>0</v>
      </c>
      <c r="C1115" s="14" t="s">
        <v>219</v>
      </c>
      <c r="D1115" s="0" t="n">
        <f aca="false">'02 SIZE_RUN'!I31</f>
        <v>0</v>
      </c>
      <c r="E1115" s="14" t="s">
        <v>220</v>
      </c>
      <c r="F1115" s="0" t="n">
        <f aca="false">'02 SIZE_RUN'!J31</f>
        <v>54</v>
      </c>
      <c r="G1115" s="14" t="s">
        <v>221</v>
      </c>
      <c r="H1115" s="0" t="n">
        <f aca="false">'02 SIZE_RUN'!K31</f>
        <v>0</v>
      </c>
    </row>
    <row r="1116" customFormat="false" ht="18" hidden="false" customHeight="true" outlineLevel="0" collapsed="false">
      <c r="A1116" s="14" t="s">
        <v>222</v>
      </c>
      <c r="B1116" s="0" t="n">
        <f aca="false">'02 SIZE_RUN'!L31</f>
        <v>47</v>
      </c>
      <c r="C1116" s="14" t="s">
        <v>223</v>
      </c>
      <c r="D1116" s="0" t="n">
        <f aca="false">'02 SIZE_RUN'!M31</f>
        <v>0</v>
      </c>
      <c r="E1116" s="14" t="s">
        <v>224</v>
      </c>
      <c r="F1116" s="0" t="n">
        <f aca="false">'02 SIZE_RUN'!N31</f>
        <v>64</v>
      </c>
      <c r="G1116" s="14" t="s">
        <v>225</v>
      </c>
      <c r="H1116" s="0" t="n">
        <f aca="false">'02 SIZE_RUN'!O31</f>
        <v>66</v>
      </c>
    </row>
    <row r="1117" customFormat="false" ht="18" hidden="false" customHeight="true" outlineLevel="0" collapsed="false">
      <c r="A1117" s="14" t="s">
        <v>226</v>
      </c>
      <c r="B1117" s="0" t="n">
        <f aca="false">'02 SIZE_RUN'!P31</f>
        <v>116</v>
      </c>
      <c r="C1117" s="14" t="s">
        <v>227</v>
      </c>
      <c r="D1117" s="0" t="n">
        <f aca="false">'02 SIZE_RUN'!Q31</f>
        <v>71</v>
      </c>
      <c r="E1117" s="14" t="s">
        <v>228</v>
      </c>
      <c r="F1117" s="0" t="n">
        <f aca="false">'02 SIZE_RUN'!R31</f>
        <v>79</v>
      </c>
      <c r="G1117" s="14" t="s">
        <v>229</v>
      </c>
      <c r="H1117" s="0" t="n">
        <f aca="false">'02 SIZE_RUN'!S31</f>
        <v>59</v>
      </c>
    </row>
    <row r="1118" customFormat="false" ht="18" hidden="false" customHeight="true" outlineLevel="0" collapsed="false">
      <c r="A1118" s="14" t="s">
        <v>230</v>
      </c>
      <c r="B1118" s="0" t="n">
        <f aca="false">'02 SIZE_RUN'!T31</f>
        <v>51</v>
      </c>
      <c r="C1118" s="14" t="s">
        <v>231</v>
      </c>
      <c r="D1118" s="0" t="n">
        <f aca="false">'02 SIZE_RUN'!U31</f>
        <v>0</v>
      </c>
      <c r="E1118" s="14" t="s">
        <v>232</v>
      </c>
      <c r="F1118" s="0" t="n">
        <f aca="false">'02 SIZE_RUN'!V31</f>
        <v>0</v>
      </c>
      <c r="G1118" s="14" t="s">
        <v>233</v>
      </c>
      <c r="H1118" s="0" t="n">
        <f aca="false">'02 SIZE_RUN'!W31</f>
        <v>0</v>
      </c>
    </row>
    <row r="1119" customFormat="false" ht="18" hidden="false" customHeight="true" outlineLevel="0" collapsed="false">
      <c r="A1119" s="14" t="s">
        <v>234</v>
      </c>
      <c r="B1119" s="0" t="n">
        <f aca="false">'02 SIZE_RUN'!X31</f>
        <v>0</v>
      </c>
      <c r="C1119" s="14" t="s">
        <v>235</v>
      </c>
      <c r="D1119" s="0" t="n">
        <f aca="false">'02 SIZE_RUN'!Y31</f>
        <v>0</v>
      </c>
      <c r="E1119" s="14" t="s">
        <v>236</v>
      </c>
      <c r="F1119" s="0" t="n">
        <f aca="false">'02 SIZE_RUN'!Z31</f>
        <v>0</v>
      </c>
      <c r="G1119" s="14" t="s">
        <v>237</v>
      </c>
      <c r="H1119" s="0" t="n">
        <f aca="false">'02 SIZE_RUN'!AA31</f>
        <v>0</v>
      </c>
    </row>
    <row r="1120" customFormat="false" ht="18" hidden="false" customHeight="true" outlineLevel="0" collapsed="false">
      <c r="A1120" s="14" t="s">
        <v>238</v>
      </c>
      <c r="B1120" s="0" t="n">
        <f aca="false">'02 SIZE_RUN'!AB31</f>
        <v>0</v>
      </c>
      <c r="C1120" s="14" t="s">
        <v>239</v>
      </c>
      <c r="D1120" s="0" t="n">
        <f aca="false">'02 SIZE_RUN'!AC31</f>
        <v>0</v>
      </c>
      <c r="E1120" s="14" t="s">
        <v>240</v>
      </c>
      <c r="F1120" s="0" t="n">
        <f aca="false">'02 SIZE_RUN'!AD31</f>
        <v>0</v>
      </c>
      <c r="G1120" s="14" t="s">
        <v>241</v>
      </c>
      <c r="H1120" s="0" t="n">
        <f aca="false">'02 SIZE_RUN'!AE31</f>
        <v>0</v>
      </c>
    </row>
    <row r="1121" customFormat="false" ht="18" hidden="false" customHeight="true" outlineLevel="0" collapsed="false">
      <c r="A1121" s="14" t="s">
        <v>242</v>
      </c>
      <c r="B1121" s="0" t="n">
        <f aca="false">'02 SIZE_RUN'!AF31</f>
        <v>0</v>
      </c>
    </row>
    <row r="1122" customFormat="false" ht="18" hidden="false" customHeight="true" outlineLevel="0" collapsed="false">
      <c r="A1122" s="10" t="str">
        <f aca="false">"TOTAL SIZE: "&amp;'02 SIZE_RUN'!AG31&amp;" | SELISIH: "&amp;'02 SIZE_RUN'!AH31</f>
        <v>TOTAL SIZE: 607 | SELISIH: 0</v>
      </c>
      <c r="B1122" s="10"/>
      <c r="C1122" s="10"/>
      <c r="D1122" s="10"/>
      <c r="E1122" s="10"/>
      <c r="F1122" s="10"/>
      <c r="G1122" s="10"/>
      <c r="H1122" s="10"/>
    </row>
    <row r="1123" customFormat="false" ht="18" hidden="false" customHeight="true" outlineLevel="0" collapsed="false">
      <c r="A1123" s="10" t="s">
        <v>255</v>
      </c>
      <c r="B1123" s="10"/>
      <c r="C1123" s="10"/>
      <c r="D1123" s="13" t="str">
        <f aca="false">IF('01 ADMIN_ORDER'!P31="","BELUM DITETAPKAN",TEXT('01 ADMIN_ORDER'!P31,"dd mmm yyyy"))</f>
        <v>BELUM DITETAPKAN</v>
      </c>
      <c r="E1123" s="13"/>
      <c r="F1123" s="13"/>
      <c r="G1123" s="13"/>
      <c r="H1123" s="13"/>
    </row>
    <row r="1124" customFormat="false" ht="18" hidden="false" customHeight="true" outlineLevel="0" collapsed="false">
      <c r="A1124" s="10" t="s">
        <v>256</v>
      </c>
      <c r="B1124" s="10"/>
      <c r="C1124" s="10"/>
      <c r="D1124" s="13" t="str">
        <f aca="false">IF('01 ADMIN_ORDER'!Q31="","BELUM DITETAPKAN",TEXT('01 ADMIN_ORDER'!Q31,"dd mmm yyyy"))</f>
        <v>BELUM DITETAPKAN</v>
      </c>
      <c r="E1124" s="13"/>
      <c r="F1124" s="13"/>
      <c r="G1124" s="13"/>
      <c r="H1124" s="13"/>
    </row>
    <row r="1125" customFormat="false" ht="25.5" hidden="false" customHeight="true" outlineLevel="0" collapsed="false">
      <c r="A1125" s="12" t="str">
        <f aca="false">"REFERENSI ASSEMBLY (bukan target upper): "&amp;TEXT('01 ADMIN_ORDER'!M31,"dd mmm yyyy")&amp;" - "&amp;TEXT('01 ADMIN_ORDER'!N31,"dd mmm yyyy")</f>
        <v>REFERENSI ASSEMBLY (bukan target upper): 19 Oct 2026 - 19 Oct 2026</v>
      </c>
      <c r="B1125" s="12"/>
      <c r="C1125" s="12"/>
      <c r="D1125" s="12"/>
      <c r="E1125" s="12"/>
      <c r="F1125" s="12"/>
      <c r="G1125" s="12"/>
      <c r="H1125" s="12"/>
    </row>
    <row r="1126" customFormat="false" ht="18" hidden="false" customHeight="true" outlineLevel="0" collapsed="false">
      <c r="A1126" s="10" t="s">
        <v>257</v>
      </c>
      <c r="B1126" s="10"/>
      <c r="C1126" s="10"/>
      <c r="D1126" s="13" t="str">
        <f aca="false">IF('04 KESIAPAN'!G31="","BELUM DIISI",'04 KESIAPAN'!G31)</f>
        <v>BELUM DIISI</v>
      </c>
      <c r="E1126" s="13"/>
      <c r="F1126" s="13"/>
      <c r="G1126" s="13"/>
      <c r="H1126" s="13"/>
    </row>
    <row r="1127" customFormat="false" ht="18" hidden="false" customHeight="true" outlineLevel="0" collapsed="false">
      <c r="A1127" s="10" t="s">
        <v>258</v>
      </c>
      <c r="B1127" s="10"/>
      <c r="C1127" s="10"/>
      <c r="D1127" s="13" t="str">
        <f aca="false">IF('04 KESIAPAN'!H31="","BELUM DIISI",'04 KESIAPAN'!H31)</f>
        <v>BELUM DIISI</v>
      </c>
      <c r="E1127" s="13"/>
      <c r="F1127" s="13"/>
      <c r="G1127" s="13"/>
      <c r="H1127" s="13"/>
    </row>
    <row r="1128" customFormat="false" ht="18" hidden="false" customHeight="true" outlineLevel="0" collapsed="false">
      <c r="A1128" s="10" t="s">
        <v>259</v>
      </c>
      <c r="B1128" s="10"/>
      <c r="C1128" s="10"/>
      <c r="D1128" s="13" t="str">
        <f aca="false">IF('04 KESIAPAN'!I31="","BELUM DIISI",'04 KESIAPAN'!I31)</f>
        <v>BELUM DIISI</v>
      </c>
      <c r="E1128" s="13"/>
      <c r="F1128" s="13"/>
      <c r="G1128" s="13"/>
      <c r="H1128" s="13"/>
    </row>
    <row r="1129" customFormat="false" ht="18" hidden="false" customHeight="true" outlineLevel="0" collapsed="false">
      <c r="A1129" s="10" t="s">
        <v>260</v>
      </c>
      <c r="B1129" s="10"/>
      <c r="C1129" s="10"/>
      <c r="D1129" s="13" t="str">
        <f aca="false">IF('04 KESIAPAN'!K31="","BELUM DIISI",'04 KESIAPAN'!K31)</f>
        <v>BELUM DIISI</v>
      </c>
      <c r="E1129" s="13"/>
      <c r="F1129" s="13"/>
      <c r="G1129" s="13"/>
      <c r="H1129" s="13"/>
    </row>
    <row r="1130" customFormat="false" ht="18" hidden="false" customHeight="true" outlineLevel="0" collapsed="false">
      <c r="A1130" s="10" t="s">
        <v>261</v>
      </c>
      <c r="B1130" s="10"/>
      <c r="C1130" s="10"/>
      <c r="D1130" s="13" t="str">
        <f aca="false">IF('04 KESIAPAN'!L31="","BELUM DIISI",'04 KESIAPAN'!L31)</f>
        <v>BELUM DIISI</v>
      </c>
      <c r="E1130" s="13"/>
      <c r="F1130" s="13"/>
      <c r="G1130" s="13"/>
      <c r="H1130" s="13"/>
    </row>
    <row r="1131" customFormat="false" ht="18" hidden="false" customHeight="true" outlineLevel="0" collapsed="false">
      <c r="A1131" s="10" t="s">
        <v>262</v>
      </c>
      <c r="B1131" s="10"/>
      <c r="C1131" s="10"/>
      <c r="D1131" s="13" t="str">
        <f aca="false">IF('04 KESIAPAN'!N31="","BELUM DIISI",'04 KESIAPAN'!N31)</f>
        <v>BELUM DIISI</v>
      </c>
      <c r="E1131" s="13"/>
      <c r="F1131" s="13"/>
      <c r="G1131" s="13"/>
      <c r="H1131" s="13"/>
    </row>
    <row r="1132" customFormat="false" ht="18" hidden="false" customHeight="true" outlineLevel="0" collapsed="false">
      <c r="A1132" s="10" t="s">
        <v>263</v>
      </c>
      <c r="B1132" s="10"/>
      <c r="C1132" s="10"/>
      <c r="D1132" s="13" t="str">
        <f aca="false">IF('04 KESIAPAN'!P31="","BELUM DIISI",'04 KESIAPAN'!P31)</f>
        <v>BELUM DIISI</v>
      </c>
      <c r="E1132" s="13"/>
      <c r="F1132" s="13"/>
      <c r="G1132" s="13"/>
      <c r="H1132" s="13"/>
    </row>
    <row r="1133" customFormat="false" ht="18" hidden="false" customHeight="true" outlineLevel="0" collapsed="false">
      <c r="A1133" s="7" t="s">
        <v>264</v>
      </c>
      <c r="B1133" s="7"/>
      <c r="C1133" s="7"/>
      <c r="D1133" s="7"/>
      <c r="E1133" s="7"/>
      <c r="F1133" s="7"/>
      <c r="G1133" s="7"/>
      <c r="H1133" s="7"/>
    </row>
    <row r="1134" customFormat="false" ht="18" hidden="false" customHeight="true" outlineLevel="0" collapsed="false">
      <c r="A1134" s="13"/>
      <c r="B1134" s="13"/>
      <c r="C1134" s="13"/>
      <c r="D1134" s="13"/>
      <c r="E1134" s="13"/>
      <c r="F1134" s="13"/>
      <c r="G1134" s="13"/>
      <c r="H1134" s="13"/>
    </row>
    <row r="1135" customFormat="false" ht="18" hidden="false" customHeight="true" outlineLevel="0" collapsed="false">
      <c r="A1135" s="13"/>
      <c r="B1135" s="13"/>
      <c r="C1135" s="13"/>
      <c r="D1135" s="13"/>
      <c r="E1135" s="13"/>
      <c r="F1135" s="13"/>
      <c r="G1135" s="13"/>
      <c r="H1135" s="13"/>
    </row>
    <row r="1136" customFormat="false" ht="18" hidden="false" customHeight="true" outlineLevel="0" collapsed="false">
      <c r="A1136" s="13"/>
      <c r="B1136" s="13"/>
      <c r="C1136" s="13"/>
      <c r="D1136" s="13"/>
      <c r="E1136" s="13"/>
      <c r="F1136" s="13"/>
      <c r="G1136" s="13"/>
      <c r="H1136" s="13"/>
    </row>
    <row r="1137" customFormat="false" ht="18" hidden="false" customHeight="true" outlineLevel="0" collapsed="false">
      <c r="A1137" s="12" t="s">
        <v>265</v>
      </c>
      <c r="B1137" s="12"/>
      <c r="C1137" s="12"/>
      <c r="D1137" s="12"/>
      <c r="E1137" s="12" t="s">
        <v>266</v>
      </c>
      <c r="F1137" s="12"/>
      <c r="G1137" s="12"/>
      <c r="H1137" s="12"/>
    </row>
    <row r="1138" customFormat="false" ht="18" hidden="false" customHeight="true" outlineLevel="0" collapsed="false">
      <c r="A1138" s="12" t="s">
        <v>296</v>
      </c>
      <c r="B1138" s="12"/>
      <c r="C1138" s="12"/>
      <c r="D1138" s="12"/>
      <c r="E1138" s="12"/>
      <c r="F1138" s="12"/>
      <c r="G1138" s="12"/>
      <c r="H1138" s="12"/>
    </row>
    <row r="1139" customFormat="false" ht="18" hidden="false" customHeight="true" outlineLevel="0" collapsed="false"/>
    <row r="1140" customFormat="false" ht="18" hidden="false" customHeight="true" outlineLevel="0" collapsed="false"/>
    <row r="1141" customFormat="false" ht="25.5" hidden="false" customHeight="true" outlineLevel="0" collapsed="false">
      <c r="A1141" s="7" t="s">
        <v>246</v>
      </c>
      <c r="B1141" s="7"/>
      <c r="C1141" s="7"/>
      <c r="D1141" s="7"/>
      <c r="E1141" s="7"/>
      <c r="F1141" s="7"/>
      <c r="G1141" s="7"/>
      <c r="H1141" s="7"/>
    </row>
    <row r="1142" customFormat="false" ht="18" hidden="false" customHeight="true" outlineLevel="0" collapsed="false">
      <c r="A1142" s="8" t="str">
        <f aca="false">'01 ADMIN_ORDER'!R32</f>
        <v>DRAFT - PERLU VERIFIKASI</v>
      </c>
      <c r="B1142" s="8"/>
      <c r="C1142" s="8"/>
      <c r="D1142" s="8"/>
      <c r="E1142" s="8"/>
      <c r="F1142" s="8"/>
      <c r="G1142" s="8"/>
      <c r="H1142" s="8"/>
    </row>
    <row r="1143" customFormat="false" ht="18" hidden="false" customHeight="true" outlineLevel="0" collapsed="false">
      <c r="A1143" s="9" t="s">
        <v>247</v>
      </c>
      <c r="B1143" s="9"/>
      <c r="C1143" s="9"/>
      <c r="D1143" s="9"/>
      <c r="E1143" s="9"/>
      <c r="F1143" s="9"/>
      <c r="G1143" s="9"/>
      <c r="H1143" s="9"/>
    </row>
    <row r="1144" customFormat="false" ht="18" hidden="false" customHeight="true" outlineLevel="0" collapsed="false">
      <c r="A1144" s="10" t="s">
        <v>248</v>
      </c>
      <c r="B1144" s="10"/>
      <c r="C1144" s="11" t="str">
        <f aca="false">'01 ADMIN_ORDER'!A32</f>
        <v>167/10/31 (59)</v>
      </c>
      <c r="D1144" s="11"/>
      <c r="E1144" s="11"/>
      <c r="F1144" s="11"/>
      <c r="G1144" s="11"/>
      <c r="H1144" s="11"/>
    </row>
    <row r="1145" customFormat="false" ht="18" hidden="false" customHeight="true" outlineLevel="0" collapsed="false">
      <c r="A1145" s="10" t="s">
        <v>249</v>
      </c>
      <c r="B1145" s="10"/>
      <c r="C1145" s="12" t="str">
        <f aca="false">'01 ADMIN_ORDER'!C32&amp;" / "&amp;'01 ADMIN_ORDER'!D32</f>
        <v>FRONTCOURT LOW / LA6606</v>
      </c>
      <c r="D1145" s="12"/>
      <c r="E1145" s="12"/>
      <c r="F1145" s="12"/>
      <c r="G1145" s="12"/>
      <c r="H1145" s="12"/>
    </row>
    <row r="1146" customFormat="false" ht="18" hidden="false" customHeight="true" outlineLevel="0" collapsed="false">
      <c r="A1146" s="10" t="s">
        <v>250</v>
      </c>
      <c r="B1146" s="10"/>
      <c r="C1146" s="12" t="str">
        <f aca="false">'01 ADMIN_ORDER'!E32</f>
        <v>903394951</v>
      </c>
      <c r="D1146" s="12"/>
      <c r="E1146" s="12"/>
      <c r="F1146" s="12"/>
      <c r="G1146" s="12"/>
      <c r="H1146" s="12"/>
    </row>
    <row r="1147" customFormat="false" ht="27.75" hidden="false" customHeight="true" outlineLevel="0" collapsed="false">
      <c r="A1147" s="10" t="s">
        <v>251</v>
      </c>
      <c r="B1147" s="10"/>
      <c r="C1147" s="12" t="str">
        <f aca="false">'01 ADMIN_ORDER'!H32</f>
        <v>CORE BLACK/CORE BLACK/GREY FIVE</v>
      </c>
      <c r="D1147" s="12"/>
      <c r="E1147" s="12"/>
      <c r="F1147" s="12"/>
      <c r="G1147" s="12"/>
      <c r="H1147" s="12"/>
    </row>
    <row r="1148" customFormat="false" ht="18" hidden="false" customHeight="true" outlineLevel="0" collapsed="false">
      <c r="A1148" s="10" t="s">
        <v>252</v>
      </c>
      <c r="B1148" s="10"/>
      <c r="C1148" s="12" t="str">
        <f aca="false">'01 ADMIN_ORDER'!B32&amp;" / "&amp;'01 ADMIN_ORDER'!G32</f>
        <v>A-19 / United Kingdom</v>
      </c>
      <c r="D1148" s="12"/>
      <c r="E1148" s="12"/>
      <c r="F1148" s="12"/>
      <c r="G1148" s="12"/>
      <c r="H1148" s="12"/>
    </row>
    <row r="1149" customFormat="false" ht="18" hidden="false" customHeight="true" outlineLevel="0" collapsed="false">
      <c r="A1149" s="10" t="s">
        <v>253</v>
      </c>
      <c r="B1149" s="10"/>
      <c r="C1149" s="13" t="str">
        <f aca="false">'01 ADMIN_ORDER'!I32&amp;" / "&amp;IF('04 KESIAPAN'!B32="","UOM BELUM DIISI",'04 KESIAPAN'!B32)</f>
        <v>435 / UOM BELUM DIISI</v>
      </c>
      <c r="D1149" s="13"/>
      <c r="E1149" s="13"/>
      <c r="F1149" s="13"/>
      <c r="G1149" s="13"/>
      <c r="H1149" s="13"/>
    </row>
    <row r="1150" customFormat="false" ht="18" hidden="false" customHeight="true" outlineLevel="0" collapsed="false">
      <c r="A1150" s="13" t="str">
        <f aca="false">IF('04 KESIAPAN'!C32="","SISTEM UKURAN BELUM DIISI",'04 KESIAPAN'!C32)&amp;" | Tanda -: "&amp;IF('04 KESIAPAN'!D32="","BELUM DIKONFIRMASI",'04 KESIAPAN'!D32)</f>
        <v>SISTEM UKURAN BELUM DIISI | Tanda -: BELUM DIKONFIRMASI</v>
      </c>
      <c r="B1150" s="13"/>
      <c r="C1150" s="13"/>
      <c r="D1150" s="13"/>
      <c r="E1150" s="13"/>
      <c r="F1150" s="13"/>
      <c r="G1150" s="13"/>
      <c r="H1150" s="13"/>
    </row>
    <row r="1151" customFormat="false" ht="18" hidden="false" customHeight="true" outlineLevel="0" collapsed="false">
      <c r="A1151" s="7" t="s">
        <v>254</v>
      </c>
      <c r="B1151" s="7"/>
      <c r="C1151" s="7"/>
      <c r="D1151" s="7"/>
      <c r="E1151" s="7"/>
      <c r="F1151" s="7"/>
      <c r="G1151" s="7"/>
      <c r="H1151" s="7"/>
    </row>
    <row r="1152" customFormat="false" ht="18" hidden="false" customHeight="true" outlineLevel="0" collapsed="false">
      <c r="A1152" s="14" t="s">
        <v>214</v>
      </c>
      <c r="B1152" s="0" t="n">
        <f aca="false">'02 SIZE_RUN'!D32</f>
        <v>0</v>
      </c>
      <c r="C1152" s="14" t="s">
        <v>215</v>
      </c>
      <c r="D1152" s="0" t="n">
        <f aca="false">'02 SIZE_RUN'!E32</f>
        <v>5</v>
      </c>
      <c r="E1152" s="14" t="s">
        <v>216</v>
      </c>
      <c r="F1152" s="0" t="n">
        <f aca="false">'02 SIZE_RUN'!F32</f>
        <v>0</v>
      </c>
      <c r="G1152" s="14" t="s">
        <v>217</v>
      </c>
      <c r="H1152" s="0" t="n">
        <f aca="false">'02 SIZE_RUN'!G32</f>
        <v>5</v>
      </c>
    </row>
    <row r="1153" customFormat="false" ht="18" hidden="false" customHeight="true" outlineLevel="0" collapsed="false">
      <c r="A1153" s="14" t="s">
        <v>218</v>
      </c>
      <c r="B1153" s="0" t="n">
        <f aca="false">'02 SIZE_RUN'!H32</f>
        <v>10</v>
      </c>
      <c r="C1153" s="14" t="s">
        <v>219</v>
      </c>
      <c r="D1153" s="0" t="n">
        <f aca="false">'02 SIZE_RUN'!I32</f>
        <v>15</v>
      </c>
      <c r="E1153" s="14" t="s">
        <v>220</v>
      </c>
      <c r="F1153" s="0" t="n">
        <f aca="false">'02 SIZE_RUN'!J32</f>
        <v>20</v>
      </c>
      <c r="G1153" s="14" t="s">
        <v>221</v>
      </c>
      <c r="H1153" s="0" t="n">
        <f aca="false">'02 SIZE_RUN'!K32</f>
        <v>20</v>
      </c>
    </row>
    <row r="1154" customFormat="false" ht="18" hidden="false" customHeight="true" outlineLevel="0" collapsed="false">
      <c r="A1154" s="14" t="s">
        <v>222</v>
      </c>
      <c r="B1154" s="0" t="n">
        <f aca="false">'02 SIZE_RUN'!L32</f>
        <v>25</v>
      </c>
      <c r="C1154" s="14" t="s">
        <v>223</v>
      </c>
      <c r="D1154" s="0" t="n">
        <f aca="false">'02 SIZE_RUN'!M32</f>
        <v>25</v>
      </c>
      <c r="E1154" s="14" t="s">
        <v>224</v>
      </c>
      <c r="F1154" s="0" t="n">
        <f aca="false">'02 SIZE_RUN'!N32</f>
        <v>40</v>
      </c>
      <c r="G1154" s="14" t="s">
        <v>225</v>
      </c>
      <c r="H1154" s="0" t="n">
        <f aca="false">'02 SIZE_RUN'!O32</f>
        <v>40</v>
      </c>
    </row>
    <row r="1155" customFormat="false" ht="18" hidden="false" customHeight="true" outlineLevel="0" collapsed="false">
      <c r="A1155" s="14" t="s">
        <v>226</v>
      </c>
      <c r="B1155" s="0" t="n">
        <f aca="false">'02 SIZE_RUN'!P32</f>
        <v>50</v>
      </c>
      <c r="C1155" s="14" t="s">
        <v>227</v>
      </c>
      <c r="D1155" s="0" t="n">
        <f aca="false">'02 SIZE_RUN'!Q32</f>
        <v>40</v>
      </c>
      <c r="E1155" s="14" t="s">
        <v>228</v>
      </c>
      <c r="F1155" s="0" t="n">
        <f aca="false">'02 SIZE_RUN'!R32</f>
        <v>35</v>
      </c>
      <c r="G1155" s="14" t="s">
        <v>229</v>
      </c>
      <c r="H1155" s="0" t="n">
        <f aca="false">'02 SIZE_RUN'!S32</f>
        <v>35</v>
      </c>
    </row>
    <row r="1156" customFormat="false" ht="18" hidden="false" customHeight="true" outlineLevel="0" collapsed="false">
      <c r="A1156" s="14" t="s">
        <v>230</v>
      </c>
      <c r="B1156" s="0" t="n">
        <f aca="false">'02 SIZE_RUN'!T32</f>
        <v>30</v>
      </c>
      <c r="C1156" s="14" t="s">
        <v>231</v>
      </c>
      <c r="D1156" s="0" t="n">
        <f aca="false">'02 SIZE_RUN'!U32</f>
        <v>15</v>
      </c>
      <c r="E1156" s="14" t="s">
        <v>232</v>
      </c>
      <c r="F1156" s="0" t="n">
        <f aca="false">'02 SIZE_RUN'!V32</f>
        <v>15</v>
      </c>
      <c r="G1156" s="14" t="s">
        <v>233</v>
      </c>
      <c r="H1156" s="0" t="n">
        <f aca="false">'02 SIZE_RUN'!W32</f>
        <v>5</v>
      </c>
    </row>
    <row r="1157" customFormat="false" ht="18" hidden="false" customHeight="true" outlineLevel="0" collapsed="false">
      <c r="A1157" s="14" t="s">
        <v>234</v>
      </c>
      <c r="B1157" s="0" t="n">
        <f aca="false">'02 SIZE_RUN'!X32</f>
        <v>0</v>
      </c>
      <c r="C1157" s="14" t="s">
        <v>235</v>
      </c>
      <c r="D1157" s="0" t="n">
        <f aca="false">'02 SIZE_RUN'!Y32</f>
        <v>5</v>
      </c>
      <c r="E1157" s="14" t="s">
        <v>236</v>
      </c>
      <c r="F1157" s="0" t="n">
        <f aca="false">'02 SIZE_RUN'!Z32</f>
        <v>0</v>
      </c>
      <c r="G1157" s="14" t="s">
        <v>237</v>
      </c>
      <c r="H1157" s="0" t="n">
        <f aca="false">'02 SIZE_RUN'!AA32</f>
        <v>0</v>
      </c>
    </row>
    <row r="1158" customFormat="false" ht="18" hidden="false" customHeight="true" outlineLevel="0" collapsed="false">
      <c r="A1158" s="14" t="s">
        <v>238</v>
      </c>
      <c r="B1158" s="0" t="n">
        <f aca="false">'02 SIZE_RUN'!AB32</f>
        <v>0</v>
      </c>
      <c r="C1158" s="14" t="s">
        <v>239</v>
      </c>
      <c r="D1158" s="0" t="n">
        <f aca="false">'02 SIZE_RUN'!AC32</f>
        <v>0</v>
      </c>
      <c r="E1158" s="14" t="s">
        <v>240</v>
      </c>
      <c r="F1158" s="0" t="n">
        <f aca="false">'02 SIZE_RUN'!AD32</f>
        <v>0</v>
      </c>
      <c r="G1158" s="14" t="s">
        <v>241</v>
      </c>
      <c r="H1158" s="0" t="n">
        <f aca="false">'02 SIZE_RUN'!AE32</f>
        <v>0</v>
      </c>
    </row>
    <row r="1159" customFormat="false" ht="18" hidden="false" customHeight="true" outlineLevel="0" collapsed="false">
      <c r="A1159" s="14" t="s">
        <v>242</v>
      </c>
      <c r="B1159" s="0" t="n">
        <f aca="false">'02 SIZE_RUN'!AF32</f>
        <v>0</v>
      </c>
    </row>
    <row r="1160" customFormat="false" ht="18" hidden="false" customHeight="true" outlineLevel="0" collapsed="false">
      <c r="A1160" s="10" t="str">
        <f aca="false">"TOTAL SIZE: "&amp;'02 SIZE_RUN'!AG32&amp;" | SELISIH: "&amp;'02 SIZE_RUN'!AH32</f>
        <v>TOTAL SIZE: 435 | SELISIH: 0</v>
      </c>
      <c r="B1160" s="10"/>
      <c r="C1160" s="10"/>
      <c r="D1160" s="10"/>
      <c r="E1160" s="10"/>
      <c r="F1160" s="10"/>
      <c r="G1160" s="10"/>
      <c r="H1160" s="10"/>
    </row>
    <row r="1161" customFormat="false" ht="18" hidden="false" customHeight="true" outlineLevel="0" collapsed="false">
      <c r="A1161" s="10" t="s">
        <v>255</v>
      </c>
      <c r="B1161" s="10"/>
      <c r="C1161" s="10"/>
      <c r="D1161" s="13" t="str">
        <f aca="false">IF('01 ADMIN_ORDER'!P32="","BELUM DITETAPKAN",TEXT('01 ADMIN_ORDER'!P32,"dd mmm yyyy"))</f>
        <v>BELUM DITETAPKAN</v>
      </c>
      <c r="E1161" s="13"/>
      <c r="F1161" s="13"/>
      <c r="G1161" s="13"/>
      <c r="H1161" s="13"/>
    </row>
    <row r="1162" customFormat="false" ht="18" hidden="false" customHeight="true" outlineLevel="0" collapsed="false">
      <c r="A1162" s="10" t="s">
        <v>256</v>
      </c>
      <c r="B1162" s="10"/>
      <c r="C1162" s="10"/>
      <c r="D1162" s="13" t="str">
        <f aca="false">IF('01 ADMIN_ORDER'!Q32="","BELUM DITETAPKAN",TEXT('01 ADMIN_ORDER'!Q32,"dd mmm yyyy"))</f>
        <v>BELUM DITETAPKAN</v>
      </c>
      <c r="E1162" s="13"/>
      <c r="F1162" s="13"/>
      <c r="G1162" s="13"/>
      <c r="H1162" s="13"/>
    </row>
    <row r="1163" customFormat="false" ht="25.5" hidden="false" customHeight="true" outlineLevel="0" collapsed="false">
      <c r="A1163" s="12" t="str">
        <f aca="false">"REFERENSI ASSEMBLY (bukan target upper): "&amp;TEXT('01 ADMIN_ORDER'!M32,"dd mmm yyyy")&amp;" - "&amp;TEXT('01 ADMIN_ORDER'!N32,"dd mmm yyyy")</f>
        <v>REFERENSI ASSEMBLY (bukan target upper): 19 Oct 2026 - 20 Oct 2026</v>
      </c>
      <c r="B1163" s="12"/>
      <c r="C1163" s="12"/>
      <c r="D1163" s="12"/>
      <c r="E1163" s="12"/>
      <c r="F1163" s="12"/>
      <c r="G1163" s="12"/>
      <c r="H1163" s="12"/>
    </row>
    <row r="1164" customFormat="false" ht="18" hidden="false" customHeight="true" outlineLevel="0" collapsed="false">
      <c r="A1164" s="10" t="s">
        <v>257</v>
      </c>
      <c r="B1164" s="10"/>
      <c r="C1164" s="10"/>
      <c r="D1164" s="13" t="str">
        <f aca="false">IF('04 KESIAPAN'!G32="","BELUM DIISI",'04 KESIAPAN'!G32)</f>
        <v>BELUM DIISI</v>
      </c>
      <c r="E1164" s="13"/>
      <c r="F1164" s="13"/>
      <c r="G1164" s="13"/>
      <c r="H1164" s="13"/>
    </row>
    <row r="1165" customFormat="false" ht="18" hidden="false" customHeight="true" outlineLevel="0" collapsed="false">
      <c r="A1165" s="10" t="s">
        <v>258</v>
      </c>
      <c r="B1165" s="10"/>
      <c r="C1165" s="10"/>
      <c r="D1165" s="13" t="str">
        <f aca="false">IF('04 KESIAPAN'!H32="","BELUM DIISI",'04 KESIAPAN'!H32)</f>
        <v>BELUM DIISI</v>
      </c>
      <c r="E1165" s="13"/>
      <c r="F1165" s="13"/>
      <c r="G1165" s="13"/>
      <c r="H1165" s="13"/>
    </row>
    <row r="1166" customFormat="false" ht="18" hidden="false" customHeight="true" outlineLevel="0" collapsed="false">
      <c r="A1166" s="10" t="s">
        <v>259</v>
      </c>
      <c r="B1166" s="10"/>
      <c r="C1166" s="10"/>
      <c r="D1166" s="13" t="str">
        <f aca="false">IF('04 KESIAPAN'!I32="","BELUM DIISI",'04 KESIAPAN'!I32)</f>
        <v>BELUM DIISI</v>
      </c>
      <c r="E1166" s="13"/>
      <c r="F1166" s="13"/>
      <c r="G1166" s="13"/>
      <c r="H1166" s="13"/>
    </row>
    <row r="1167" customFormat="false" ht="18" hidden="false" customHeight="true" outlineLevel="0" collapsed="false">
      <c r="A1167" s="10" t="s">
        <v>260</v>
      </c>
      <c r="B1167" s="10"/>
      <c r="C1167" s="10"/>
      <c r="D1167" s="13" t="str">
        <f aca="false">IF('04 KESIAPAN'!K32="","BELUM DIISI",'04 KESIAPAN'!K32)</f>
        <v>BELUM DIISI</v>
      </c>
      <c r="E1167" s="13"/>
      <c r="F1167" s="13"/>
      <c r="G1167" s="13"/>
      <c r="H1167" s="13"/>
    </row>
    <row r="1168" customFormat="false" ht="18" hidden="false" customHeight="true" outlineLevel="0" collapsed="false">
      <c r="A1168" s="10" t="s">
        <v>261</v>
      </c>
      <c r="B1168" s="10"/>
      <c r="C1168" s="10"/>
      <c r="D1168" s="13" t="str">
        <f aca="false">IF('04 KESIAPAN'!L32="","BELUM DIISI",'04 KESIAPAN'!L32)</f>
        <v>BELUM DIISI</v>
      </c>
      <c r="E1168" s="13"/>
      <c r="F1168" s="13"/>
      <c r="G1168" s="13"/>
      <c r="H1168" s="13"/>
    </row>
    <row r="1169" customFormat="false" ht="18" hidden="false" customHeight="true" outlineLevel="0" collapsed="false">
      <c r="A1169" s="10" t="s">
        <v>262</v>
      </c>
      <c r="B1169" s="10"/>
      <c r="C1169" s="10"/>
      <c r="D1169" s="13" t="str">
        <f aca="false">IF('04 KESIAPAN'!N32="","BELUM DIISI",'04 KESIAPAN'!N32)</f>
        <v>BELUM DIISI</v>
      </c>
      <c r="E1169" s="13"/>
      <c r="F1169" s="13"/>
      <c r="G1169" s="13"/>
      <c r="H1169" s="13"/>
    </row>
    <row r="1170" customFormat="false" ht="18" hidden="false" customHeight="true" outlineLevel="0" collapsed="false">
      <c r="A1170" s="10" t="s">
        <v>263</v>
      </c>
      <c r="B1170" s="10"/>
      <c r="C1170" s="10"/>
      <c r="D1170" s="13" t="str">
        <f aca="false">IF('04 KESIAPAN'!P32="","BELUM DIISI",'04 KESIAPAN'!P32)</f>
        <v>BELUM DIISI</v>
      </c>
      <c r="E1170" s="13"/>
      <c r="F1170" s="13"/>
      <c r="G1170" s="13"/>
      <c r="H1170" s="13"/>
    </row>
    <row r="1171" customFormat="false" ht="18" hidden="false" customHeight="true" outlineLevel="0" collapsed="false">
      <c r="A1171" s="7" t="s">
        <v>264</v>
      </c>
      <c r="B1171" s="7"/>
      <c r="C1171" s="7"/>
      <c r="D1171" s="7"/>
      <c r="E1171" s="7"/>
      <c r="F1171" s="7"/>
      <c r="G1171" s="7"/>
      <c r="H1171" s="7"/>
    </row>
    <row r="1172" customFormat="false" ht="18" hidden="false" customHeight="true" outlineLevel="0" collapsed="false">
      <c r="A1172" s="13"/>
      <c r="B1172" s="13"/>
      <c r="C1172" s="13"/>
      <c r="D1172" s="13"/>
      <c r="E1172" s="13"/>
      <c r="F1172" s="13"/>
      <c r="G1172" s="13"/>
      <c r="H1172" s="13"/>
    </row>
    <row r="1173" customFormat="false" ht="18" hidden="false" customHeight="true" outlineLevel="0" collapsed="false">
      <c r="A1173" s="13"/>
      <c r="B1173" s="13"/>
      <c r="C1173" s="13"/>
      <c r="D1173" s="13"/>
      <c r="E1173" s="13"/>
      <c r="F1173" s="13"/>
      <c r="G1173" s="13"/>
      <c r="H1173" s="13"/>
    </row>
    <row r="1174" customFormat="false" ht="18" hidden="false" customHeight="true" outlineLevel="0" collapsed="false">
      <c r="A1174" s="13"/>
      <c r="B1174" s="13"/>
      <c r="C1174" s="13"/>
      <c r="D1174" s="13"/>
      <c r="E1174" s="13"/>
      <c r="F1174" s="13"/>
      <c r="G1174" s="13"/>
      <c r="H1174" s="13"/>
    </row>
    <row r="1175" customFormat="false" ht="18" hidden="false" customHeight="true" outlineLevel="0" collapsed="false">
      <c r="A1175" s="12" t="s">
        <v>265</v>
      </c>
      <c r="B1175" s="12"/>
      <c r="C1175" s="12"/>
      <c r="D1175" s="12"/>
      <c r="E1175" s="12" t="s">
        <v>266</v>
      </c>
      <c r="F1175" s="12"/>
      <c r="G1175" s="12"/>
      <c r="H1175" s="12"/>
    </row>
    <row r="1176" customFormat="false" ht="18" hidden="false" customHeight="true" outlineLevel="0" collapsed="false">
      <c r="A1176" s="12" t="s">
        <v>297</v>
      </c>
      <c r="B1176" s="12"/>
      <c r="C1176" s="12"/>
      <c r="D1176" s="12"/>
      <c r="E1176" s="12"/>
      <c r="F1176" s="12"/>
      <c r="G1176" s="12"/>
      <c r="H1176" s="12"/>
    </row>
    <row r="1177" customFormat="false" ht="18" hidden="false" customHeight="true" outlineLevel="0" collapsed="false"/>
    <row r="1178" customFormat="false" ht="18" hidden="false" customHeight="true" outlineLevel="0" collapsed="false"/>
    <row r="1179" customFormat="false" ht="25.5" hidden="false" customHeight="true" outlineLevel="0" collapsed="false">
      <c r="A1179" s="7" t="s">
        <v>246</v>
      </c>
      <c r="B1179" s="7"/>
      <c r="C1179" s="7"/>
      <c r="D1179" s="7"/>
      <c r="E1179" s="7"/>
      <c r="F1179" s="7"/>
      <c r="G1179" s="7"/>
      <c r="H1179" s="7"/>
    </row>
    <row r="1180" customFormat="false" ht="18" hidden="false" customHeight="true" outlineLevel="0" collapsed="false">
      <c r="A1180" s="8" t="str">
        <f aca="false">'01 ADMIN_ORDER'!R33</f>
        <v>DRAFT - PERLU VERIFIKASI</v>
      </c>
      <c r="B1180" s="8"/>
      <c r="C1180" s="8"/>
      <c r="D1180" s="8"/>
      <c r="E1180" s="8"/>
      <c r="F1180" s="8"/>
      <c r="G1180" s="8"/>
      <c r="H1180" s="8"/>
    </row>
    <row r="1181" customFormat="false" ht="18" hidden="false" customHeight="true" outlineLevel="0" collapsed="false">
      <c r="A1181" s="9" t="s">
        <v>247</v>
      </c>
      <c r="B1181" s="9"/>
      <c r="C1181" s="9"/>
      <c r="D1181" s="9"/>
      <c r="E1181" s="9"/>
      <c r="F1181" s="9"/>
      <c r="G1181" s="9"/>
      <c r="H1181" s="9"/>
    </row>
    <row r="1182" customFormat="false" ht="18" hidden="false" customHeight="true" outlineLevel="0" collapsed="false">
      <c r="A1182" s="10" t="s">
        <v>248</v>
      </c>
      <c r="B1182" s="10"/>
      <c r="C1182" s="11" t="str">
        <f aca="false">'01 ADMIN_ORDER'!A33</f>
        <v>168/10/32 (59)</v>
      </c>
      <c r="D1182" s="11"/>
      <c r="E1182" s="11"/>
      <c r="F1182" s="11"/>
      <c r="G1182" s="11"/>
      <c r="H1182" s="11"/>
    </row>
    <row r="1183" customFormat="false" ht="18" hidden="false" customHeight="true" outlineLevel="0" collapsed="false">
      <c r="A1183" s="10" t="s">
        <v>249</v>
      </c>
      <c r="B1183" s="10"/>
      <c r="C1183" s="12" t="str">
        <f aca="false">'01 ADMIN_ORDER'!C33&amp;" / "&amp;'01 ADMIN_ORDER'!D33</f>
        <v>FRONTCOURT LOW / LA6606</v>
      </c>
      <c r="D1183" s="12"/>
      <c r="E1183" s="12"/>
      <c r="F1183" s="12"/>
      <c r="G1183" s="12"/>
      <c r="H1183" s="12"/>
    </row>
    <row r="1184" customFormat="false" ht="18" hidden="false" customHeight="true" outlineLevel="0" collapsed="false">
      <c r="A1184" s="10" t="s">
        <v>250</v>
      </c>
      <c r="B1184" s="10"/>
      <c r="C1184" s="12" t="str">
        <f aca="false">'01 ADMIN_ORDER'!E33</f>
        <v>903412031</v>
      </c>
      <c r="D1184" s="12"/>
      <c r="E1184" s="12"/>
      <c r="F1184" s="12"/>
      <c r="G1184" s="12"/>
      <c r="H1184" s="12"/>
    </row>
    <row r="1185" customFormat="false" ht="27.75" hidden="false" customHeight="true" outlineLevel="0" collapsed="false">
      <c r="A1185" s="10" t="s">
        <v>251</v>
      </c>
      <c r="B1185" s="10"/>
      <c r="C1185" s="12" t="str">
        <f aca="false">'01 ADMIN_ORDER'!H33</f>
        <v>CORE BLACK/CORE BLACK/GREY FIVE</v>
      </c>
      <c r="D1185" s="12"/>
      <c r="E1185" s="12"/>
      <c r="F1185" s="12"/>
      <c r="G1185" s="12"/>
      <c r="H1185" s="12"/>
    </row>
    <row r="1186" customFormat="false" ht="18" hidden="false" customHeight="true" outlineLevel="0" collapsed="false">
      <c r="A1186" s="10" t="s">
        <v>252</v>
      </c>
      <c r="B1186" s="10"/>
      <c r="C1186" s="12" t="str">
        <f aca="false">'01 ADMIN_ORDER'!B33&amp;" / "&amp;'01 ADMIN_ORDER'!G33</f>
        <v>A-19 / Germany (Zalando)</v>
      </c>
      <c r="D1186" s="12"/>
      <c r="E1186" s="12"/>
      <c r="F1186" s="12"/>
      <c r="G1186" s="12"/>
      <c r="H1186" s="12"/>
    </row>
    <row r="1187" customFormat="false" ht="18" hidden="false" customHeight="true" outlineLevel="0" collapsed="false">
      <c r="A1187" s="10" t="s">
        <v>253</v>
      </c>
      <c r="B1187" s="10"/>
      <c r="C1187" s="13" t="str">
        <f aca="false">'01 ADMIN_ORDER'!I33&amp;" / "&amp;IF('04 KESIAPAN'!B33="","UOM BELUM DIISI",'04 KESIAPAN'!B33)</f>
        <v>1100 / UOM BELUM DIISI</v>
      </c>
      <c r="D1187" s="13"/>
      <c r="E1187" s="13"/>
      <c r="F1187" s="13"/>
      <c r="G1187" s="13"/>
      <c r="H1187" s="13"/>
    </row>
    <row r="1188" customFormat="false" ht="18" hidden="false" customHeight="true" outlineLevel="0" collapsed="false">
      <c r="A1188" s="13" t="str">
        <f aca="false">IF('04 KESIAPAN'!C33="","SISTEM UKURAN BELUM DIISI",'04 KESIAPAN'!C33)&amp;" | Tanda -: "&amp;IF('04 KESIAPAN'!D33="","BELUM DIKONFIRMASI",'04 KESIAPAN'!D33)</f>
        <v>SISTEM UKURAN BELUM DIISI | Tanda -: BELUM DIKONFIRMASI</v>
      </c>
      <c r="B1188" s="13"/>
      <c r="C1188" s="13"/>
      <c r="D1188" s="13"/>
      <c r="E1188" s="13"/>
      <c r="F1188" s="13"/>
      <c r="G1188" s="13"/>
      <c r="H1188" s="13"/>
    </row>
    <row r="1189" customFormat="false" ht="18" hidden="false" customHeight="true" outlineLevel="0" collapsed="false">
      <c r="A1189" s="7" t="s">
        <v>254</v>
      </c>
      <c r="B1189" s="7"/>
      <c r="C1189" s="7"/>
      <c r="D1189" s="7"/>
      <c r="E1189" s="7"/>
      <c r="F1189" s="7"/>
      <c r="G1189" s="7"/>
      <c r="H1189" s="7"/>
    </row>
    <row r="1190" customFormat="false" ht="18" hidden="false" customHeight="true" outlineLevel="0" collapsed="false">
      <c r="A1190" s="14" t="s">
        <v>214</v>
      </c>
      <c r="B1190" s="0" t="n">
        <f aca="false">'02 SIZE_RUN'!D33</f>
        <v>3</v>
      </c>
      <c r="C1190" s="14" t="s">
        <v>215</v>
      </c>
      <c r="D1190" s="0" t="n">
        <f aca="false">'02 SIZE_RUN'!E33</f>
        <v>1</v>
      </c>
      <c r="E1190" s="14" t="s">
        <v>216</v>
      </c>
      <c r="F1190" s="0" t="n">
        <f aca="false">'02 SIZE_RUN'!F33</f>
        <v>0</v>
      </c>
      <c r="G1190" s="14" t="s">
        <v>217</v>
      </c>
      <c r="H1190" s="0" t="n">
        <f aca="false">'02 SIZE_RUN'!G33</f>
        <v>0</v>
      </c>
    </row>
    <row r="1191" customFormat="false" ht="18" hidden="false" customHeight="true" outlineLevel="0" collapsed="false">
      <c r="A1191" s="14" t="s">
        <v>218</v>
      </c>
      <c r="B1191" s="0" t="n">
        <f aca="false">'02 SIZE_RUN'!H33</f>
        <v>0</v>
      </c>
      <c r="C1191" s="14" t="s">
        <v>219</v>
      </c>
      <c r="D1191" s="0" t="n">
        <f aca="false">'02 SIZE_RUN'!I33</f>
        <v>4</v>
      </c>
      <c r="E1191" s="14" t="s">
        <v>220</v>
      </c>
      <c r="F1191" s="0" t="n">
        <f aca="false">'02 SIZE_RUN'!J33</f>
        <v>13</v>
      </c>
      <c r="G1191" s="14" t="s">
        <v>221</v>
      </c>
      <c r="H1191" s="0" t="n">
        <f aca="false">'02 SIZE_RUN'!K33</f>
        <v>60</v>
      </c>
    </row>
    <row r="1192" customFormat="false" ht="18" hidden="false" customHeight="true" outlineLevel="0" collapsed="false">
      <c r="A1192" s="14" t="s">
        <v>222</v>
      </c>
      <c r="B1192" s="0" t="n">
        <f aca="false">'02 SIZE_RUN'!L33</f>
        <v>106</v>
      </c>
      <c r="C1192" s="14" t="s">
        <v>223</v>
      </c>
      <c r="D1192" s="0" t="n">
        <f aca="false">'02 SIZE_RUN'!M33</f>
        <v>134</v>
      </c>
      <c r="E1192" s="14" t="s">
        <v>224</v>
      </c>
      <c r="F1192" s="0" t="n">
        <f aca="false">'02 SIZE_RUN'!N33</f>
        <v>94</v>
      </c>
      <c r="G1192" s="14" t="s">
        <v>225</v>
      </c>
      <c r="H1192" s="0" t="n">
        <f aca="false">'02 SIZE_RUN'!O33</f>
        <v>94</v>
      </c>
    </row>
    <row r="1193" customFormat="false" ht="18" hidden="false" customHeight="true" outlineLevel="0" collapsed="false">
      <c r="A1193" s="14" t="s">
        <v>226</v>
      </c>
      <c r="B1193" s="0" t="n">
        <f aca="false">'02 SIZE_RUN'!P33</f>
        <v>131</v>
      </c>
      <c r="C1193" s="14" t="s">
        <v>227</v>
      </c>
      <c r="D1193" s="0" t="n">
        <f aca="false">'02 SIZE_RUN'!Q33</f>
        <v>104</v>
      </c>
      <c r="E1193" s="14" t="s">
        <v>228</v>
      </c>
      <c r="F1193" s="0" t="n">
        <f aca="false">'02 SIZE_RUN'!R33</f>
        <v>146</v>
      </c>
      <c r="G1193" s="14" t="s">
        <v>229</v>
      </c>
      <c r="H1193" s="0" t="n">
        <f aca="false">'02 SIZE_RUN'!S33</f>
        <v>91</v>
      </c>
    </row>
    <row r="1194" customFormat="false" ht="18" hidden="false" customHeight="true" outlineLevel="0" collapsed="false">
      <c r="A1194" s="14" t="s">
        <v>230</v>
      </c>
      <c r="B1194" s="0" t="n">
        <f aca="false">'02 SIZE_RUN'!T33</f>
        <v>71</v>
      </c>
      <c r="C1194" s="14" t="s">
        <v>231</v>
      </c>
      <c r="D1194" s="0" t="n">
        <f aca="false">'02 SIZE_RUN'!U33</f>
        <v>18</v>
      </c>
      <c r="E1194" s="14" t="s">
        <v>232</v>
      </c>
      <c r="F1194" s="0" t="n">
        <f aca="false">'02 SIZE_RUN'!V33</f>
        <v>23</v>
      </c>
      <c r="G1194" s="14" t="s">
        <v>233</v>
      </c>
      <c r="H1194" s="0" t="n">
        <f aca="false">'02 SIZE_RUN'!W33</f>
        <v>2</v>
      </c>
    </row>
    <row r="1195" customFormat="false" ht="18" hidden="false" customHeight="true" outlineLevel="0" collapsed="false">
      <c r="A1195" s="14" t="s">
        <v>234</v>
      </c>
      <c r="B1195" s="0" t="n">
        <f aca="false">'02 SIZE_RUN'!X33</f>
        <v>0</v>
      </c>
      <c r="C1195" s="14" t="s">
        <v>235</v>
      </c>
      <c r="D1195" s="0" t="n">
        <f aca="false">'02 SIZE_RUN'!Y33</f>
        <v>5</v>
      </c>
      <c r="E1195" s="14" t="s">
        <v>236</v>
      </c>
      <c r="F1195" s="0" t="n">
        <f aca="false">'02 SIZE_RUN'!Z33</f>
        <v>0</v>
      </c>
      <c r="G1195" s="14" t="s">
        <v>237</v>
      </c>
      <c r="H1195" s="0" t="n">
        <f aca="false">'02 SIZE_RUN'!AA33</f>
        <v>0</v>
      </c>
    </row>
    <row r="1196" customFormat="false" ht="18" hidden="false" customHeight="true" outlineLevel="0" collapsed="false">
      <c r="A1196" s="14" t="s">
        <v>238</v>
      </c>
      <c r="B1196" s="0" t="n">
        <f aca="false">'02 SIZE_RUN'!AB33</f>
        <v>0</v>
      </c>
      <c r="C1196" s="14" t="s">
        <v>239</v>
      </c>
      <c r="D1196" s="0" t="n">
        <f aca="false">'02 SIZE_RUN'!AC33</f>
        <v>0</v>
      </c>
      <c r="E1196" s="14" t="s">
        <v>240</v>
      </c>
      <c r="F1196" s="0" t="n">
        <f aca="false">'02 SIZE_RUN'!AD33</f>
        <v>0</v>
      </c>
      <c r="G1196" s="14" t="s">
        <v>241</v>
      </c>
      <c r="H1196" s="0" t="n">
        <f aca="false">'02 SIZE_RUN'!AE33</f>
        <v>0</v>
      </c>
    </row>
    <row r="1197" customFormat="false" ht="18" hidden="false" customHeight="true" outlineLevel="0" collapsed="false">
      <c r="A1197" s="14" t="s">
        <v>242</v>
      </c>
      <c r="B1197" s="0" t="n">
        <f aca="false">'02 SIZE_RUN'!AF33</f>
        <v>0</v>
      </c>
    </row>
    <row r="1198" customFormat="false" ht="18" hidden="false" customHeight="true" outlineLevel="0" collapsed="false">
      <c r="A1198" s="10" t="str">
        <f aca="false">"TOTAL SIZE: "&amp;'02 SIZE_RUN'!AG33&amp;" | SELISIH: "&amp;'02 SIZE_RUN'!AH33</f>
        <v>TOTAL SIZE: 1100 | SELISIH: 0</v>
      </c>
      <c r="B1198" s="10"/>
      <c r="C1198" s="10"/>
      <c r="D1198" s="10"/>
      <c r="E1198" s="10"/>
      <c r="F1198" s="10"/>
      <c r="G1198" s="10"/>
      <c r="H1198" s="10"/>
    </row>
    <row r="1199" customFormat="false" ht="18" hidden="false" customHeight="true" outlineLevel="0" collapsed="false">
      <c r="A1199" s="10" t="s">
        <v>255</v>
      </c>
      <c r="B1199" s="10"/>
      <c r="C1199" s="10"/>
      <c r="D1199" s="13" t="str">
        <f aca="false">IF('01 ADMIN_ORDER'!P33="","BELUM DITETAPKAN",TEXT('01 ADMIN_ORDER'!P33,"dd mmm yyyy"))</f>
        <v>BELUM DITETAPKAN</v>
      </c>
      <c r="E1199" s="13"/>
      <c r="F1199" s="13"/>
      <c r="G1199" s="13"/>
      <c r="H1199" s="13"/>
    </row>
    <row r="1200" customFormat="false" ht="18" hidden="false" customHeight="true" outlineLevel="0" collapsed="false">
      <c r="A1200" s="10" t="s">
        <v>256</v>
      </c>
      <c r="B1200" s="10"/>
      <c r="C1200" s="10"/>
      <c r="D1200" s="13" t="str">
        <f aca="false">IF('01 ADMIN_ORDER'!Q33="","BELUM DITETAPKAN",TEXT('01 ADMIN_ORDER'!Q33,"dd mmm yyyy"))</f>
        <v>BELUM DITETAPKAN</v>
      </c>
      <c r="E1200" s="13"/>
      <c r="F1200" s="13"/>
      <c r="G1200" s="13"/>
      <c r="H1200" s="13"/>
    </row>
    <row r="1201" customFormat="false" ht="25.5" hidden="false" customHeight="true" outlineLevel="0" collapsed="false">
      <c r="A1201" s="12" t="str">
        <f aca="false">"REFERENSI ASSEMBLY (bukan target upper): "&amp;TEXT('01 ADMIN_ORDER'!M33,"dd mmm yyyy")&amp;" - "&amp;TEXT('01 ADMIN_ORDER'!N33,"dd mmm yyyy")</f>
        <v>REFERENSI ASSEMBLY (bukan target upper): 20 Oct 2026 - 21 Oct 2026</v>
      </c>
      <c r="B1201" s="12"/>
      <c r="C1201" s="12"/>
      <c r="D1201" s="12"/>
      <c r="E1201" s="12"/>
      <c r="F1201" s="12"/>
      <c r="G1201" s="12"/>
      <c r="H1201" s="12"/>
    </row>
    <row r="1202" customFormat="false" ht="18" hidden="false" customHeight="true" outlineLevel="0" collapsed="false">
      <c r="A1202" s="10" t="s">
        <v>257</v>
      </c>
      <c r="B1202" s="10"/>
      <c r="C1202" s="10"/>
      <c r="D1202" s="13" t="str">
        <f aca="false">IF('04 KESIAPAN'!G33="","BELUM DIISI",'04 KESIAPAN'!G33)</f>
        <v>BELUM DIISI</v>
      </c>
      <c r="E1202" s="13"/>
      <c r="F1202" s="13"/>
      <c r="G1202" s="13"/>
      <c r="H1202" s="13"/>
    </row>
    <row r="1203" customFormat="false" ht="18" hidden="false" customHeight="true" outlineLevel="0" collapsed="false">
      <c r="A1203" s="10" t="s">
        <v>258</v>
      </c>
      <c r="B1203" s="10"/>
      <c r="C1203" s="10"/>
      <c r="D1203" s="13" t="str">
        <f aca="false">IF('04 KESIAPAN'!H33="","BELUM DIISI",'04 KESIAPAN'!H33)</f>
        <v>BELUM DIISI</v>
      </c>
      <c r="E1203" s="13"/>
      <c r="F1203" s="13"/>
      <c r="G1203" s="13"/>
      <c r="H1203" s="13"/>
    </row>
    <row r="1204" customFormat="false" ht="18" hidden="false" customHeight="true" outlineLevel="0" collapsed="false">
      <c r="A1204" s="10" t="s">
        <v>259</v>
      </c>
      <c r="B1204" s="10"/>
      <c r="C1204" s="10"/>
      <c r="D1204" s="13" t="str">
        <f aca="false">IF('04 KESIAPAN'!I33="","BELUM DIISI",'04 KESIAPAN'!I33)</f>
        <v>BELUM DIISI</v>
      </c>
      <c r="E1204" s="13"/>
      <c r="F1204" s="13"/>
      <c r="G1204" s="13"/>
      <c r="H1204" s="13"/>
    </row>
    <row r="1205" customFormat="false" ht="18" hidden="false" customHeight="true" outlineLevel="0" collapsed="false">
      <c r="A1205" s="10" t="s">
        <v>260</v>
      </c>
      <c r="B1205" s="10"/>
      <c r="C1205" s="10"/>
      <c r="D1205" s="13" t="str">
        <f aca="false">IF('04 KESIAPAN'!K33="","BELUM DIISI",'04 KESIAPAN'!K33)</f>
        <v>BELUM DIISI</v>
      </c>
      <c r="E1205" s="13"/>
      <c r="F1205" s="13"/>
      <c r="G1205" s="13"/>
      <c r="H1205" s="13"/>
    </row>
    <row r="1206" customFormat="false" ht="18" hidden="false" customHeight="true" outlineLevel="0" collapsed="false">
      <c r="A1206" s="10" t="s">
        <v>261</v>
      </c>
      <c r="B1206" s="10"/>
      <c r="C1206" s="10"/>
      <c r="D1206" s="13" t="str">
        <f aca="false">IF('04 KESIAPAN'!L33="","BELUM DIISI",'04 KESIAPAN'!L33)</f>
        <v>BELUM DIISI</v>
      </c>
      <c r="E1206" s="13"/>
      <c r="F1206" s="13"/>
      <c r="G1206" s="13"/>
      <c r="H1206" s="13"/>
    </row>
    <row r="1207" customFormat="false" ht="18" hidden="false" customHeight="true" outlineLevel="0" collapsed="false">
      <c r="A1207" s="10" t="s">
        <v>262</v>
      </c>
      <c r="B1207" s="10"/>
      <c r="C1207" s="10"/>
      <c r="D1207" s="13" t="str">
        <f aca="false">IF('04 KESIAPAN'!N33="","BELUM DIISI",'04 KESIAPAN'!N33)</f>
        <v>BELUM DIISI</v>
      </c>
      <c r="E1207" s="13"/>
      <c r="F1207" s="13"/>
      <c r="G1207" s="13"/>
      <c r="H1207" s="13"/>
    </row>
    <row r="1208" customFormat="false" ht="18" hidden="false" customHeight="true" outlineLevel="0" collapsed="false">
      <c r="A1208" s="10" t="s">
        <v>263</v>
      </c>
      <c r="B1208" s="10"/>
      <c r="C1208" s="10"/>
      <c r="D1208" s="13" t="str">
        <f aca="false">IF('04 KESIAPAN'!P33="","BELUM DIISI",'04 KESIAPAN'!P33)</f>
        <v>BELUM DIISI</v>
      </c>
      <c r="E1208" s="13"/>
      <c r="F1208" s="13"/>
      <c r="G1208" s="13"/>
      <c r="H1208" s="13"/>
    </row>
    <row r="1209" customFormat="false" ht="18" hidden="false" customHeight="true" outlineLevel="0" collapsed="false">
      <c r="A1209" s="7" t="s">
        <v>264</v>
      </c>
      <c r="B1209" s="7"/>
      <c r="C1209" s="7"/>
      <c r="D1209" s="7"/>
      <c r="E1209" s="7"/>
      <c r="F1209" s="7"/>
      <c r="G1209" s="7"/>
      <c r="H1209" s="7"/>
    </row>
    <row r="1210" customFormat="false" ht="18" hidden="false" customHeight="true" outlineLevel="0" collapsed="false">
      <c r="A1210" s="13"/>
      <c r="B1210" s="13"/>
      <c r="C1210" s="13"/>
      <c r="D1210" s="13"/>
      <c r="E1210" s="13"/>
      <c r="F1210" s="13"/>
      <c r="G1210" s="13"/>
      <c r="H1210" s="13"/>
    </row>
    <row r="1211" customFormat="false" ht="18" hidden="false" customHeight="true" outlineLevel="0" collapsed="false">
      <c r="A1211" s="13"/>
      <c r="B1211" s="13"/>
      <c r="C1211" s="13"/>
      <c r="D1211" s="13"/>
      <c r="E1211" s="13"/>
      <c r="F1211" s="13"/>
      <c r="G1211" s="13"/>
      <c r="H1211" s="13"/>
    </row>
    <row r="1212" customFormat="false" ht="18" hidden="false" customHeight="true" outlineLevel="0" collapsed="false">
      <c r="A1212" s="13"/>
      <c r="B1212" s="13"/>
      <c r="C1212" s="13"/>
      <c r="D1212" s="13"/>
      <c r="E1212" s="13"/>
      <c r="F1212" s="13"/>
      <c r="G1212" s="13"/>
      <c r="H1212" s="13"/>
    </row>
    <row r="1213" customFormat="false" ht="18" hidden="false" customHeight="true" outlineLevel="0" collapsed="false">
      <c r="A1213" s="12" t="s">
        <v>265</v>
      </c>
      <c r="B1213" s="12"/>
      <c r="C1213" s="12"/>
      <c r="D1213" s="12"/>
      <c r="E1213" s="12" t="s">
        <v>266</v>
      </c>
      <c r="F1213" s="12"/>
      <c r="G1213" s="12"/>
      <c r="H1213" s="12"/>
    </row>
    <row r="1214" customFormat="false" ht="18" hidden="false" customHeight="true" outlineLevel="0" collapsed="false">
      <c r="A1214" s="12" t="s">
        <v>298</v>
      </c>
      <c r="B1214" s="12"/>
      <c r="C1214" s="12"/>
      <c r="D1214" s="12"/>
      <c r="E1214" s="12"/>
      <c r="F1214" s="12"/>
      <c r="G1214" s="12"/>
      <c r="H1214" s="12"/>
    </row>
    <row r="1215" customFormat="false" ht="18" hidden="false" customHeight="true" outlineLevel="0" collapsed="false"/>
    <row r="1216" customFormat="false" ht="18" hidden="false" customHeight="true" outlineLevel="0" collapsed="false"/>
    <row r="1217" customFormat="false" ht="25.5" hidden="false" customHeight="true" outlineLevel="0" collapsed="false">
      <c r="A1217" s="7" t="s">
        <v>246</v>
      </c>
      <c r="B1217" s="7"/>
      <c r="C1217" s="7"/>
      <c r="D1217" s="7"/>
      <c r="E1217" s="7"/>
      <c r="F1217" s="7"/>
      <c r="G1217" s="7"/>
      <c r="H1217" s="7"/>
    </row>
    <row r="1218" customFormat="false" ht="18" hidden="false" customHeight="true" outlineLevel="0" collapsed="false">
      <c r="A1218" s="8" t="str">
        <f aca="false">'01 ADMIN_ORDER'!R34</f>
        <v>DRAFT - PERLU VERIFIKASI</v>
      </c>
      <c r="B1218" s="8"/>
      <c r="C1218" s="8"/>
      <c r="D1218" s="8"/>
      <c r="E1218" s="8"/>
      <c r="F1218" s="8"/>
      <c r="G1218" s="8"/>
      <c r="H1218" s="8"/>
    </row>
    <row r="1219" customFormat="false" ht="18" hidden="false" customHeight="true" outlineLevel="0" collapsed="false">
      <c r="A1219" s="9" t="s">
        <v>247</v>
      </c>
      <c r="B1219" s="9"/>
      <c r="C1219" s="9"/>
      <c r="D1219" s="9"/>
      <c r="E1219" s="9"/>
      <c r="F1219" s="9"/>
      <c r="G1219" s="9"/>
      <c r="H1219" s="9"/>
    </row>
    <row r="1220" customFormat="false" ht="18" hidden="false" customHeight="true" outlineLevel="0" collapsed="false">
      <c r="A1220" s="10" t="s">
        <v>248</v>
      </c>
      <c r="B1220" s="10"/>
      <c r="C1220" s="11" t="str">
        <f aca="false">'01 ADMIN_ORDER'!A34</f>
        <v>169/10/33 (59)</v>
      </c>
      <c r="D1220" s="11"/>
      <c r="E1220" s="11"/>
      <c r="F1220" s="11"/>
      <c r="G1220" s="11"/>
      <c r="H1220" s="11"/>
    </row>
    <row r="1221" customFormat="false" ht="18" hidden="false" customHeight="true" outlineLevel="0" collapsed="false">
      <c r="A1221" s="10" t="s">
        <v>249</v>
      </c>
      <c r="B1221" s="10"/>
      <c r="C1221" s="12" t="str">
        <f aca="false">'01 ADMIN_ORDER'!C34&amp;" / "&amp;'01 ADMIN_ORDER'!D34</f>
        <v>FRONTCOURT LOW / LA6617</v>
      </c>
      <c r="D1221" s="12"/>
      <c r="E1221" s="12"/>
      <c r="F1221" s="12"/>
      <c r="G1221" s="12"/>
      <c r="H1221" s="12"/>
    </row>
    <row r="1222" customFormat="false" ht="18" hidden="false" customHeight="true" outlineLevel="0" collapsed="false">
      <c r="A1222" s="10" t="s">
        <v>250</v>
      </c>
      <c r="B1222" s="10"/>
      <c r="C1222" s="12" t="str">
        <f aca="false">'01 ADMIN_ORDER'!E34</f>
        <v>903403418</v>
      </c>
      <c r="D1222" s="12"/>
      <c r="E1222" s="12"/>
      <c r="F1222" s="12"/>
      <c r="G1222" s="12"/>
      <c r="H1222" s="12"/>
    </row>
    <row r="1223" customFormat="false" ht="27.75" hidden="false" customHeight="true" outlineLevel="0" collapsed="false">
      <c r="A1223" s="10" t="s">
        <v>251</v>
      </c>
      <c r="B1223" s="10"/>
      <c r="C1223" s="12" t="str">
        <f aca="false">'01 ADMIN_ORDER'!H34</f>
        <v>OLIVE TWO/OFF WHITE/OLIVE THREE</v>
      </c>
      <c r="D1223" s="12"/>
      <c r="E1223" s="12"/>
      <c r="F1223" s="12"/>
      <c r="G1223" s="12"/>
      <c r="H1223" s="12"/>
    </row>
    <row r="1224" customFormat="false" ht="18" hidden="false" customHeight="true" outlineLevel="0" collapsed="false">
      <c r="A1224" s="10" t="s">
        <v>252</v>
      </c>
      <c r="B1224" s="10"/>
      <c r="C1224" s="12" t="str">
        <f aca="false">'01 ADMIN_ORDER'!B34&amp;" / "&amp;'01 ADMIN_ORDER'!G34</f>
        <v>A-19 / United Kingdom</v>
      </c>
      <c r="D1224" s="12"/>
      <c r="E1224" s="12"/>
      <c r="F1224" s="12"/>
      <c r="G1224" s="12"/>
      <c r="H1224" s="12"/>
    </row>
    <row r="1225" customFormat="false" ht="18" hidden="false" customHeight="true" outlineLevel="0" collapsed="false">
      <c r="A1225" s="10" t="s">
        <v>253</v>
      </c>
      <c r="B1225" s="10"/>
      <c r="C1225" s="13" t="str">
        <f aca="false">'01 ADMIN_ORDER'!I34&amp;" / "&amp;IF('04 KESIAPAN'!B34="","UOM BELUM DIISI",'04 KESIAPAN'!B34)</f>
        <v>365 / UOM BELUM DIISI</v>
      </c>
      <c r="D1225" s="13"/>
      <c r="E1225" s="13"/>
      <c r="F1225" s="13"/>
      <c r="G1225" s="13"/>
      <c r="H1225" s="13"/>
    </row>
    <row r="1226" customFormat="false" ht="18" hidden="false" customHeight="true" outlineLevel="0" collapsed="false">
      <c r="A1226" s="13" t="str">
        <f aca="false">IF('04 KESIAPAN'!C34="","SISTEM UKURAN BELUM DIISI",'04 KESIAPAN'!C34)&amp;" | Tanda -: "&amp;IF('04 KESIAPAN'!D34="","BELUM DIKONFIRMASI",'04 KESIAPAN'!D34)</f>
        <v>SISTEM UKURAN BELUM DIISI | Tanda -: BELUM DIKONFIRMASI</v>
      </c>
      <c r="B1226" s="13"/>
      <c r="C1226" s="13"/>
      <c r="D1226" s="13"/>
      <c r="E1226" s="13"/>
      <c r="F1226" s="13"/>
      <c r="G1226" s="13"/>
      <c r="H1226" s="13"/>
    </row>
    <row r="1227" customFormat="false" ht="18" hidden="false" customHeight="true" outlineLevel="0" collapsed="false">
      <c r="A1227" s="7" t="s">
        <v>254</v>
      </c>
      <c r="B1227" s="7"/>
      <c r="C1227" s="7"/>
      <c r="D1227" s="7"/>
      <c r="E1227" s="7"/>
      <c r="F1227" s="7"/>
      <c r="G1227" s="7"/>
      <c r="H1227" s="7"/>
    </row>
    <row r="1228" customFormat="false" ht="18" hidden="false" customHeight="true" outlineLevel="0" collapsed="false">
      <c r="A1228" s="14" t="s">
        <v>214</v>
      </c>
      <c r="B1228" s="0" t="n">
        <f aca="false">'02 SIZE_RUN'!D34</f>
        <v>0</v>
      </c>
      <c r="C1228" s="14" t="s">
        <v>215</v>
      </c>
      <c r="D1228" s="0" t="n">
        <f aca="false">'02 SIZE_RUN'!E34</f>
        <v>0</v>
      </c>
      <c r="E1228" s="14" t="s">
        <v>216</v>
      </c>
      <c r="F1228" s="0" t="n">
        <f aca="false">'02 SIZE_RUN'!F34</f>
        <v>0</v>
      </c>
      <c r="G1228" s="14" t="s">
        <v>217</v>
      </c>
      <c r="H1228" s="0" t="n">
        <f aca="false">'02 SIZE_RUN'!G34</f>
        <v>10</v>
      </c>
    </row>
    <row r="1229" customFormat="false" ht="18" hidden="false" customHeight="true" outlineLevel="0" collapsed="false">
      <c r="A1229" s="14" t="s">
        <v>218</v>
      </c>
      <c r="B1229" s="0" t="n">
        <f aca="false">'02 SIZE_RUN'!H34</f>
        <v>20</v>
      </c>
      <c r="C1229" s="14" t="s">
        <v>219</v>
      </c>
      <c r="D1229" s="0" t="n">
        <f aca="false">'02 SIZE_RUN'!I34</f>
        <v>10</v>
      </c>
      <c r="E1229" s="14" t="s">
        <v>220</v>
      </c>
      <c r="F1229" s="0" t="n">
        <f aca="false">'02 SIZE_RUN'!J34</f>
        <v>25</v>
      </c>
      <c r="G1229" s="14" t="s">
        <v>221</v>
      </c>
      <c r="H1229" s="0" t="n">
        <f aca="false">'02 SIZE_RUN'!K34</f>
        <v>20</v>
      </c>
    </row>
    <row r="1230" customFormat="false" ht="18" hidden="false" customHeight="true" outlineLevel="0" collapsed="false">
      <c r="A1230" s="14" t="s">
        <v>222</v>
      </c>
      <c r="B1230" s="0" t="n">
        <f aca="false">'02 SIZE_RUN'!L34</f>
        <v>25</v>
      </c>
      <c r="C1230" s="14" t="s">
        <v>223</v>
      </c>
      <c r="D1230" s="0" t="n">
        <f aca="false">'02 SIZE_RUN'!M34</f>
        <v>25</v>
      </c>
      <c r="E1230" s="14" t="s">
        <v>224</v>
      </c>
      <c r="F1230" s="0" t="n">
        <f aca="false">'02 SIZE_RUN'!N34</f>
        <v>35</v>
      </c>
      <c r="G1230" s="14" t="s">
        <v>225</v>
      </c>
      <c r="H1230" s="0" t="n">
        <f aca="false">'02 SIZE_RUN'!O34</f>
        <v>30</v>
      </c>
    </row>
    <row r="1231" customFormat="false" ht="18" hidden="false" customHeight="true" outlineLevel="0" collapsed="false">
      <c r="A1231" s="14" t="s">
        <v>226</v>
      </c>
      <c r="B1231" s="0" t="n">
        <f aca="false">'02 SIZE_RUN'!P34</f>
        <v>40</v>
      </c>
      <c r="C1231" s="14" t="s">
        <v>227</v>
      </c>
      <c r="D1231" s="0" t="n">
        <f aca="false">'02 SIZE_RUN'!Q34</f>
        <v>30</v>
      </c>
      <c r="E1231" s="14" t="s">
        <v>228</v>
      </c>
      <c r="F1231" s="0" t="n">
        <f aca="false">'02 SIZE_RUN'!R34</f>
        <v>25</v>
      </c>
      <c r="G1231" s="14" t="s">
        <v>229</v>
      </c>
      <c r="H1231" s="0" t="n">
        <f aca="false">'02 SIZE_RUN'!S34</f>
        <v>25</v>
      </c>
    </row>
    <row r="1232" customFormat="false" ht="18" hidden="false" customHeight="true" outlineLevel="0" collapsed="false">
      <c r="A1232" s="14" t="s">
        <v>230</v>
      </c>
      <c r="B1232" s="0" t="n">
        <f aca="false">'02 SIZE_RUN'!T34</f>
        <v>20</v>
      </c>
      <c r="C1232" s="14" t="s">
        <v>231</v>
      </c>
      <c r="D1232" s="0" t="n">
        <f aca="false">'02 SIZE_RUN'!U34</f>
        <v>10</v>
      </c>
      <c r="E1232" s="14" t="s">
        <v>232</v>
      </c>
      <c r="F1232" s="0" t="n">
        <f aca="false">'02 SIZE_RUN'!V34</f>
        <v>10</v>
      </c>
      <c r="G1232" s="14" t="s">
        <v>233</v>
      </c>
      <c r="H1232" s="0" t="n">
        <f aca="false">'02 SIZE_RUN'!W34</f>
        <v>5</v>
      </c>
    </row>
    <row r="1233" customFormat="false" ht="18" hidden="false" customHeight="true" outlineLevel="0" collapsed="false">
      <c r="A1233" s="14" t="s">
        <v>234</v>
      </c>
      <c r="B1233" s="0" t="n">
        <f aca="false">'02 SIZE_RUN'!X34</f>
        <v>0</v>
      </c>
      <c r="C1233" s="14" t="s">
        <v>235</v>
      </c>
      <c r="D1233" s="0" t="n">
        <f aca="false">'02 SIZE_RUN'!Y34</f>
        <v>0</v>
      </c>
      <c r="E1233" s="14" t="s">
        <v>236</v>
      </c>
      <c r="F1233" s="0" t="n">
        <f aca="false">'02 SIZE_RUN'!Z34</f>
        <v>0</v>
      </c>
      <c r="G1233" s="14" t="s">
        <v>237</v>
      </c>
      <c r="H1233" s="0" t="n">
        <f aca="false">'02 SIZE_RUN'!AA34</f>
        <v>0</v>
      </c>
    </row>
    <row r="1234" customFormat="false" ht="18" hidden="false" customHeight="true" outlineLevel="0" collapsed="false">
      <c r="A1234" s="14" t="s">
        <v>238</v>
      </c>
      <c r="B1234" s="0" t="n">
        <f aca="false">'02 SIZE_RUN'!AB34</f>
        <v>0</v>
      </c>
      <c r="C1234" s="14" t="s">
        <v>239</v>
      </c>
      <c r="D1234" s="0" t="n">
        <f aca="false">'02 SIZE_RUN'!AC34</f>
        <v>0</v>
      </c>
      <c r="E1234" s="14" t="s">
        <v>240</v>
      </c>
      <c r="F1234" s="0" t="n">
        <f aca="false">'02 SIZE_RUN'!AD34</f>
        <v>0</v>
      </c>
      <c r="G1234" s="14" t="s">
        <v>241</v>
      </c>
      <c r="H1234" s="0" t="n">
        <f aca="false">'02 SIZE_RUN'!AE34</f>
        <v>0</v>
      </c>
    </row>
    <row r="1235" customFormat="false" ht="18" hidden="false" customHeight="true" outlineLevel="0" collapsed="false">
      <c r="A1235" s="14" t="s">
        <v>242</v>
      </c>
      <c r="B1235" s="0" t="n">
        <f aca="false">'02 SIZE_RUN'!AF34</f>
        <v>0</v>
      </c>
    </row>
    <row r="1236" customFormat="false" ht="18" hidden="false" customHeight="true" outlineLevel="0" collapsed="false">
      <c r="A1236" s="10" t="str">
        <f aca="false">"TOTAL SIZE: "&amp;'02 SIZE_RUN'!AG34&amp;" | SELISIH: "&amp;'02 SIZE_RUN'!AH34</f>
        <v>TOTAL SIZE: 365 | SELISIH: 0</v>
      </c>
      <c r="B1236" s="10"/>
      <c r="C1236" s="10"/>
      <c r="D1236" s="10"/>
      <c r="E1236" s="10"/>
      <c r="F1236" s="10"/>
      <c r="G1236" s="10"/>
      <c r="H1236" s="10"/>
    </row>
    <row r="1237" customFormat="false" ht="18" hidden="false" customHeight="true" outlineLevel="0" collapsed="false">
      <c r="A1237" s="10" t="s">
        <v>255</v>
      </c>
      <c r="B1237" s="10"/>
      <c r="C1237" s="10"/>
      <c r="D1237" s="13" t="str">
        <f aca="false">IF('01 ADMIN_ORDER'!P34="","BELUM DITETAPKAN",TEXT('01 ADMIN_ORDER'!P34,"dd mmm yyyy"))</f>
        <v>BELUM DITETAPKAN</v>
      </c>
      <c r="E1237" s="13"/>
      <c r="F1237" s="13"/>
      <c r="G1237" s="13"/>
      <c r="H1237" s="13"/>
    </row>
    <row r="1238" customFormat="false" ht="18" hidden="false" customHeight="true" outlineLevel="0" collapsed="false">
      <c r="A1238" s="10" t="s">
        <v>256</v>
      </c>
      <c r="B1238" s="10"/>
      <c r="C1238" s="10"/>
      <c r="D1238" s="13" t="str">
        <f aca="false">IF('01 ADMIN_ORDER'!Q34="","BELUM DITETAPKAN",TEXT('01 ADMIN_ORDER'!Q34,"dd mmm yyyy"))</f>
        <v>BELUM DITETAPKAN</v>
      </c>
      <c r="E1238" s="13"/>
      <c r="F1238" s="13"/>
      <c r="G1238" s="13"/>
      <c r="H1238" s="13"/>
    </row>
    <row r="1239" customFormat="false" ht="25.5" hidden="false" customHeight="true" outlineLevel="0" collapsed="false">
      <c r="A1239" s="12" t="str">
        <f aca="false">"REFERENSI ASSEMBLY (bukan target upper): "&amp;TEXT('01 ADMIN_ORDER'!M34,"dd mmm yyyy")&amp;" - "&amp;TEXT('01 ADMIN_ORDER'!N34,"dd mmm yyyy")</f>
        <v>REFERENSI ASSEMBLY (bukan target upper): 21 Oct 2026 - 21 Oct 2026</v>
      </c>
      <c r="B1239" s="12"/>
      <c r="C1239" s="12"/>
      <c r="D1239" s="12"/>
      <c r="E1239" s="12"/>
      <c r="F1239" s="12"/>
      <c r="G1239" s="12"/>
      <c r="H1239" s="12"/>
    </row>
    <row r="1240" customFormat="false" ht="18" hidden="false" customHeight="true" outlineLevel="0" collapsed="false">
      <c r="A1240" s="10" t="s">
        <v>257</v>
      </c>
      <c r="B1240" s="10"/>
      <c r="C1240" s="10"/>
      <c r="D1240" s="13" t="str">
        <f aca="false">IF('04 KESIAPAN'!G34="","BELUM DIISI",'04 KESIAPAN'!G34)</f>
        <v>BELUM DIISI</v>
      </c>
      <c r="E1240" s="13"/>
      <c r="F1240" s="13"/>
      <c r="G1240" s="13"/>
      <c r="H1240" s="13"/>
    </row>
    <row r="1241" customFormat="false" ht="18" hidden="false" customHeight="true" outlineLevel="0" collapsed="false">
      <c r="A1241" s="10" t="s">
        <v>258</v>
      </c>
      <c r="B1241" s="10"/>
      <c r="C1241" s="10"/>
      <c r="D1241" s="13" t="str">
        <f aca="false">IF('04 KESIAPAN'!H34="","BELUM DIISI",'04 KESIAPAN'!H34)</f>
        <v>BELUM DIISI</v>
      </c>
      <c r="E1241" s="13"/>
      <c r="F1241" s="13"/>
      <c r="G1241" s="13"/>
      <c r="H1241" s="13"/>
    </row>
    <row r="1242" customFormat="false" ht="18" hidden="false" customHeight="true" outlineLevel="0" collapsed="false">
      <c r="A1242" s="10" t="s">
        <v>259</v>
      </c>
      <c r="B1242" s="10"/>
      <c r="C1242" s="10"/>
      <c r="D1242" s="13" t="str">
        <f aca="false">IF('04 KESIAPAN'!I34="","BELUM DIISI",'04 KESIAPAN'!I34)</f>
        <v>BELUM DIISI</v>
      </c>
      <c r="E1242" s="13"/>
      <c r="F1242" s="13"/>
      <c r="G1242" s="13"/>
      <c r="H1242" s="13"/>
    </row>
    <row r="1243" customFormat="false" ht="18" hidden="false" customHeight="true" outlineLevel="0" collapsed="false">
      <c r="A1243" s="10" t="s">
        <v>260</v>
      </c>
      <c r="B1243" s="10"/>
      <c r="C1243" s="10"/>
      <c r="D1243" s="13" t="str">
        <f aca="false">IF('04 KESIAPAN'!K34="","BELUM DIISI",'04 KESIAPAN'!K34)</f>
        <v>BELUM DIISI</v>
      </c>
      <c r="E1243" s="13"/>
      <c r="F1243" s="13"/>
      <c r="G1243" s="13"/>
      <c r="H1243" s="13"/>
    </row>
    <row r="1244" customFormat="false" ht="18" hidden="false" customHeight="true" outlineLevel="0" collapsed="false">
      <c r="A1244" s="10" t="s">
        <v>261</v>
      </c>
      <c r="B1244" s="10"/>
      <c r="C1244" s="10"/>
      <c r="D1244" s="13" t="str">
        <f aca="false">IF('04 KESIAPAN'!L34="","BELUM DIISI",'04 KESIAPAN'!L34)</f>
        <v>BELUM DIISI</v>
      </c>
      <c r="E1244" s="13"/>
      <c r="F1244" s="13"/>
      <c r="G1244" s="13"/>
      <c r="H1244" s="13"/>
    </row>
    <row r="1245" customFormat="false" ht="18" hidden="false" customHeight="true" outlineLevel="0" collapsed="false">
      <c r="A1245" s="10" t="s">
        <v>262</v>
      </c>
      <c r="B1245" s="10"/>
      <c r="C1245" s="10"/>
      <c r="D1245" s="13" t="str">
        <f aca="false">IF('04 KESIAPAN'!N34="","BELUM DIISI",'04 KESIAPAN'!N34)</f>
        <v>BELUM DIISI</v>
      </c>
      <c r="E1245" s="13"/>
      <c r="F1245" s="13"/>
      <c r="G1245" s="13"/>
      <c r="H1245" s="13"/>
    </row>
    <row r="1246" customFormat="false" ht="18" hidden="false" customHeight="true" outlineLevel="0" collapsed="false">
      <c r="A1246" s="10" t="s">
        <v>263</v>
      </c>
      <c r="B1246" s="10"/>
      <c r="C1246" s="10"/>
      <c r="D1246" s="13" t="str">
        <f aca="false">IF('04 KESIAPAN'!P34="","BELUM DIISI",'04 KESIAPAN'!P34)</f>
        <v>BELUM DIISI</v>
      </c>
      <c r="E1246" s="13"/>
      <c r="F1246" s="13"/>
      <c r="G1246" s="13"/>
      <c r="H1246" s="13"/>
    </row>
    <row r="1247" customFormat="false" ht="18" hidden="false" customHeight="true" outlineLevel="0" collapsed="false">
      <c r="A1247" s="7" t="s">
        <v>264</v>
      </c>
      <c r="B1247" s="7"/>
      <c r="C1247" s="7"/>
      <c r="D1247" s="7"/>
      <c r="E1247" s="7"/>
      <c r="F1247" s="7"/>
      <c r="G1247" s="7"/>
      <c r="H1247" s="7"/>
    </row>
    <row r="1248" customFormat="false" ht="18" hidden="false" customHeight="true" outlineLevel="0" collapsed="false">
      <c r="A1248" s="13"/>
      <c r="B1248" s="13"/>
      <c r="C1248" s="13"/>
      <c r="D1248" s="13"/>
      <c r="E1248" s="13"/>
      <c r="F1248" s="13"/>
      <c r="G1248" s="13"/>
      <c r="H1248" s="13"/>
    </row>
    <row r="1249" customFormat="false" ht="18" hidden="false" customHeight="true" outlineLevel="0" collapsed="false">
      <c r="A1249" s="13"/>
      <c r="B1249" s="13"/>
      <c r="C1249" s="13"/>
      <c r="D1249" s="13"/>
      <c r="E1249" s="13"/>
      <c r="F1249" s="13"/>
      <c r="G1249" s="13"/>
      <c r="H1249" s="13"/>
    </row>
    <row r="1250" customFormat="false" ht="18" hidden="false" customHeight="true" outlineLevel="0" collapsed="false">
      <c r="A1250" s="13"/>
      <c r="B1250" s="13"/>
      <c r="C1250" s="13"/>
      <c r="D1250" s="13"/>
      <c r="E1250" s="13"/>
      <c r="F1250" s="13"/>
      <c r="G1250" s="13"/>
      <c r="H1250" s="13"/>
    </row>
    <row r="1251" customFormat="false" ht="18" hidden="false" customHeight="true" outlineLevel="0" collapsed="false">
      <c r="A1251" s="12" t="s">
        <v>265</v>
      </c>
      <c r="B1251" s="12"/>
      <c r="C1251" s="12"/>
      <c r="D1251" s="12"/>
      <c r="E1251" s="12" t="s">
        <v>266</v>
      </c>
      <c r="F1251" s="12"/>
      <c r="G1251" s="12"/>
      <c r="H1251" s="12"/>
    </row>
    <row r="1252" customFormat="false" ht="18" hidden="false" customHeight="true" outlineLevel="0" collapsed="false">
      <c r="A1252" s="12" t="s">
        <v>299</v>
      </c>
      <c r="B1252" s="12"/>
      <c r="C1252" s="12"/>
      <c r="D1252" s="12"/>
      <c r="E1252" s="12"/>
      <c r="F1252" s="12"/>
      <c r="G1252" s="12"/>
      <c r="H1252" s="12"/>
    </row>
    <row r="1253" customFormat="false" ht="18" hidden="false" customHeight="true" outlineLevel="0" collapsed="false"/>
    <row r="1254" customFormat="false" ht="18" hidden="false" customHeight="true" outlineLevel="0" collapsed="false"/>
    <row r="1255" customFormat="false" ht="25.5" hidden="false" customHeight="true" outlineLevel="0" collapsed="false">
      <c r="A1255" s="7" t="s">
        <v>246</v>
      </c>
      <c r="B1255" s="7"/>
      <c r="C1255" s="7"/>
      <c r="D1255" s="7"/>
      <c r="E1255" s="7"/>
      <c r="F1255" s="7"/>
      <c r="G1255" s="7"/>
      <c r="H1255" s="7"/>
    </row>
    <row r="1256" customFormat="false" ht="18" hidden="false" customHeight="true" outlineLevel="0" collapsed="false">
      <c r="A1256" s="8" t="str">
        <f aca="false">'01 ADMIN_ORDER'!R35</f>
        <v>DRAFT - PERLU VERIFIKASI</v>
      </c>
      <c r="B1256" s="8"/>
      <c r="C1256" s="8"/>
      <c r="D1256" s="8"/>
      <c r="E1256" s="8"/>
      <c r="F1256" s="8"/>
      <c r="G1256" s="8"/>
      <c r="H1256" s="8"/>
    </row>
    <row r="1257" customFormat="false" ht="18" hidden="false" customHeight="true" outlineLevel="0" collapsed="false">
      <c r="A1257" s="9" t="s">
        <v>247</v>
      </c>
      <c r="B1257" s="9"/>
      <c r="C1257" s="9"/>
      <c r="D1257" s="9"/>
      <c r="E1257" s="9"/>
      <c r="F1257" s="9"/>
      <c r="G1257" s="9"/>
      <c r="H1257" s="9"/>
    </row>
    <row r="1258" customFormat="false" ht="18" hidden="false" customHeight="true" outlineLevel="0" collapsed="false">
      <c r="A1258" s="10" t="s">
        <v>248</v>
      </c>
      <c r="B1258" s="10"/>
      <c r="C1258" s="11" t="str">
        <f aca="false">'01 ADMIN_ORDER'!A35</f>
        <v>170/10/34 (59)</v>
      </c>
      <c r="D1258" s="11"/>
      <c r="E1258" s="11"/>
      <c r="F1258" s="11"/>
      <c r="G1258" s="11"/>
      <c r="H1258" s="11"/>
    </row>
    <row r="1259" customFormat="false" ht="18" hidden="false" customHeight="true" outlineLevel="0" collapsed="false">
      <c r="A1259" s="10" t="s">
        <v>249</v>
      </c>
      <c r="B1259" s="10"/>
      <c r="C1259" s="12" t="str">
        <f aca="false">'01 ADMIN_ORDER'!C35&amp;" / "&amp;'01 ADMIN_ORDER'!D35</f>
        <v>FRONTCOURT LOW / LA6617</v>
      </c>
      <c r="D1259" s="12"/>
      <c r="E1259" s="12"/>
      <c r="F1259" s="12"/>
      <c r="G1259" s="12"/>
      <c r="H1259" s="12"/>
    </row>
    <row r="1260" customFormat="false" ht="18" hidden="false" customHeight="true" outlineLevel="0" collapsed="false">
      <c r="A1260" s="10" t="s">
        <v>250</v>
      </c>
      <c r="B1260" s="10"/>
      <c r="C1260" s="12" t="str">
        <f aca="false">'01 ADMIN_ORDER'!E35</f>
        <v>903277029</v>
      </c>
      <c r="D1260" s="12"/>
      <c r="E1260" s="12"/>
      <c r="F1260" s="12"/>
      <c r="G1260" s="12"/>
      <c r="H1260" s="12"/>
    </row>
    <row r="1261" customFormat="false" ht="27.75" hidden="false" customHeight="true" outlineLevel="0" collapsed="false">
      <c r="A1261" s="10" t="s">
        <v>251</v>
      </c>
      <c r="B1261" s="10"/>
      <c r="C1261" s="12" t="str">
        <f aca="false">'01 ADMIN_ORDER'!H35</f>
        <v>OLIVE TWO/OFF WHITE/OLIVE THREE</v>
      </c>
      <c r="D1261" s="12"/>
      <c r="E1261" s="12"/>
      <c r="F1261" s="12"/>
      <c r="G1261" s="12"/>
      <c r="H1261" s="12"/>
    </row>
    <row r="1262" customFormat="false" ht="18" hidden="false" customHeight="true" outlineLevel="0" collapsed="false">
      <c r="A1262" s="10" t="s">
        <v>252</v>
      </c>
      <c r="B1262" s="10"/>
      <c r="C1262" s="12" t="str">
        <f aca="false">'01 ADMIN_ORDER'!B35&amp;" / "&amp;'01 ADMIN_ORDER'!G35</f>
        <v>A-19 / Italy (Zalando)</v>
      </c>
      <c r="D1262" s="12"/>
      <c r="E1262" s="12"/>
      <c r="F1262" s="12"/>
      <c r="G1262" s="12"/>
      <c r="H1262" s="12"/>
    </row>
    <row r="1263" customFormat="false" ht="18" hidden="false" customHeight="true" outlineLevel="0" collapsed="false">
      <c r="A1263" s="10" t="s">
        <v>253</v>
      </c>
      <c r="B1263" s="10"/>
      <c r="C1263" s="13" t="str">
        <f aca="false">'01 ADMIN_ORDER'!I35&amp;" / "&amp;IF('04 KESIAPAN'!B35="","UOM BELUM DIISI",'04 KESIAPAN'!B35)</f>
        <v>370 / UOM BELUM DIISI</v>
      </c>
      <c r="D1263" s="13"/>
      <c r="E1263" s="13"/>
      <c r="F1263" s="13"/>
      <c r="G1263" s="13"/>
      <c r="H1263" s="13"/>
    </row>
    <row r="1264" customFormat="false" ht="18" hidden="false" customHeight="true" outlineLevel="0" collapsed="false">
      <c r="A1264" s="13" t="str">
        <f aca="false">IF('04 KESIAPAN'!C35="","SISTEM UKURAN BELUM DIISI",'04 KESIAPAN'!C35)&amp;" | Tanda -: "&amp;IF('04 KESIAPAN'!D35="","BELUM DIKONFIRMASI",'04 KESIAPAN'!D35)</f>
        <v>SISTEM UKURAN BELUM DIISI | Tanda -: BELUM DIKONFIRMASI</v>
      </c>
      <c r="B1264" s="13"/>
      <c r="C1264" s="13"/>
      <c r="D1264" s="13"/>
      <c r="E1264" s="13"/>
      <c r="F1264" s="13"/>
      <c r="G1264" s="13"/>
      <c r="H1264" s="13"/>
    </row>
    <row r="1265" customFormat="false" ht="18" hidden="false" customHeight="true" outlineLevel="0" collapsed="false">
      <c r="A1265" s="7" t="s">
        <v>254</v>
      </c>
      <c r="B1265" s="7"/>
      <c r="C1265" s="7"/>
      <c r="D1265" s="7"/>
      <c r="E1265" s="7"/>
      <c r="F1265" s="7"/>
      <c r="G1265" s="7"/>
      <c r="H1265" s="7"/>
    </row>
    <row r="1266" customFormat="false" ht="18" hidden="false" customHeight="true" outlineLevel="0" collapsed="false">
      <c r="A1266" s="14" t="s">
        <v>214</v>
      </c>
      <c r="B1266" s="0" t="n">
        <f aca="false">'02 SIZE_RUN'!D35</f>
        <v>0</v>
      </c>
      <c r="C1266" s="14" t="s">
        <v>215</v>
      </c>
      <c r="D1266" s="0" t="n">
        <f aca="false">'02 SIZE_RUN'!E35</f>
        <v>0</v>
      </c>
      <c r="E1266" s="14" t="s">
        <v>216</v>
      </c>
      <c r="F1266" s="0" t="n">
        <f aca="false">'02 SIZE_RUN'!F35</f>
        <v>5</v>
      </c>
      <c r="G1266" s="14" t="s">
        <v>217</v>
      </c>
      <c r="H1266" s="0" t="n">
        <f aca="false">'02 SIZE_RUN'!G35</f>
        <v>5</v>
      </c>
    </row>
    <row r="1267" customFormat="false" ht="18" hidden="false" customHeight="true" outlineLevel="0" collapsed="false">
      <c r="A1267" s="14" t="s">
        <v>218</v>
      </c>
      <c r="B1267" s="0" t="n">
        <f aca="false">'02 SIZE_RUN'!H35</f>
        <v>10</v>
      </c>
      <c r="C1267" s="14" t="s">
        <v>219</v>
      </c>
      <c r="D1267" s="0" t="n">
        <f aca="false">'02 SIZE_RUN'!I35</f>
        <v>5</v>
      </c>
      <c r="E1267" s="14" t="s">
        <v>220</v>
      </c>
      <c r="F1267" s="0" t="n">
        <f aca="false">'02 SIZE_RUN'!J35</f>
        <v>15</v>
      </c>
      <c r="G1267" s="14" t="s">
        <v>221</v>
      </c>
      <c r="H1267" s="0" t="n">
        <f aca="false">'02 SIZE_RUN'!K35</f>
        <v>20</v>
      </c>
    </row>
    <row r="1268" customFormat="false" ht="18" hidden="false" customHeight="true" outlineLevel="0" collapsed="false">
      <c r="A1268" s="14" t="s">
        <v>222</v>
      </c>
      <c r="B1268" s="0" t="n">
        <f aca="false">'02 SIZE_RUN'!L35</f>
        <v>10</v>
      </c>
      <c r="C1268" s="14" t="s">
        <v>223</v>
      </c>
      <c r="D1268" s="0" t="n">
        <f aca="false">'02 SIZE_RUN'!M35</f>
        <v>35</v>
      </c>
      <c r="E1268" s="14" t="s">
        <v>224</v>
      </c>
      <c r="F1268" s="0" t="n">
        <f aca="false">'02 SIZE_RUN'!N35</f>
        <v>60</v>
      </c>
      <c r="G1268" s="14" t="s">
        <v>225</v>
      </c>
      <c r="H1268" s="0" t="n">
        <f aca="false">'02 SIZE_RUN'!O35</f>
        <v>15</v>
      </c>
    </row>
    <row r="1269" customFormat="false" ht="18" hidden="false" customHeight="true" outlineLevel="0" collapsed="false">
      <c r="A1269" s="14" t="s">
        <v>226</v>
      </c>
      <c r="B1269" s="0" t="n">
        <f aca="false">'02 SIZE_RUN'!P35</f>
        <v>65</v>
      </c>
      <c r="C1269" s="14" t="s">
        <v>227</v>
      </c>
      <c r="D1269" s="0" t="n">
        <f aca="false">'02 SIZE_RUN'!Q35</f>
        <v>45</v>
      </c>
      <c r="E1269" s="14" t="s">
        <v>228</v>
      </c>
      <c r="F1269" s="0" t="n">
        <f aca="false">'02 SIZE_RUN'!R35</f>
        <v>15</v>
      </c>
      <c r="G1269" s="14" t="s">
        <v>229</v>
      </c>
      <c r="H1269" s="0" t="n">
        <f aca="false">'02 SIZE_RUN'!S35</f>
        <v>30</v>
      </c>
    </row>
    <row r="1270" customFormat="false" ht="18" hidden="false" customHeight="true" outlineLevel="0" collapsed="false">
      <c r="A1270" s="14" t="s">
        <v>230</v>
      </c>
      <c r="B1270" s="0" t="n">
        <f aca="false">'02 SIZE_RUN'!T35</f>
        <v>20</v>
      </c>
      <c r="C1270" s="14" t="s">
        <v>231</v>
      </c>
      <c r="D1270" s="0" t="n">
        <f aca="false">'02 SIZE_RUN'!U35</f>
        <v>5</v>
      </c>
      <c r="E1270" s="14" t="s">
        <v>232</v>
      </c>
      <c r="F1270" s="0" t="n">
        <f aca="false">'02 SIZE_RUN'!V35</f>
        <v>10</v>
      </c>
      <c r="G1270" s="14" t="s">
        <v>233</v>
      </c>
      <c r="H1270" s="0" t="n">
        <f aca="false">'02 SIZE_RUN'!W35</f>
        <v>0</v>
      </c>
    </row>
    <row r="1271" customFormat="false" ht="18" hidden="false" customHeight="true" outlineLevel="0" collapsed="false">
      <c r="A1271" s="14" t="s">
        <v>234</v>
      </c>
      <c r="B1271" s="0" t="n">
        <f aca="false">'02 SIZE_RUN'!X35</f>
        <v>0</v>
      </c>
      <c r="C1271" s="14" t="s">
        <v>235</v>
      </c>
      <c r="D1271" s="0" t="n">
        <f aca="false">'02 SIZE_RUN'!Y35</f>
        <v>0</v>
      </c>
      <c r="E1271" s="14" t="s">
        <v>236</v>
      </c>
      <c r="F1271" s="0" t="n">
        <f aca="false">'02 SIZE_RUN'!Z35</f>
        <v>0</v>
      </c>
      <c r="G1271" s="14" t="s">
        <v>237</v>
      </c>
      <c r="H1271" s="0" t="n">
        <f aca="false">'02 SIZE_RUN'!AA35</f>
        <v>0</v>
      </c>
    </row>
    <row r="1272" customFormat="false" ht="18" hidden="false" customHeight="true" outlineLevel="0" collapsed="false">
      <c r="A1272" s="14" t="s">
        <v>238</v>
      </c>
      <c r="B1272" s="0" t="n">
        <f aca="false">'02 SIZE_RUN'!AB35</f>
        <v>0</v>
      </c>
      <c r="C1272" s="14" t="s">
        <v>239</v>
      </c>
      <c r="D1272" s="0" t="n">
        <f aca="false">'02 SIZE_RUN'!AC35</f>
        <v>0</v>
      </c>
      <c r="E1272" s="14" t="s">
        <v>240</v>
      </c>
      <c r="F1272" s="0" t="n">
        <f aca="false">'02 SIZE_RUN'!AD35</f>
        <v>0</v>
      </c>
      <c r="G1272" s="14" t="s">
        <v>241</v>
      </c>
      <c r="H1272" s="0" t="n">
        <f aca="false">'02 SIZE_RUN'!AE35</f>
        <v>0</v>
      </c>
    </row>
    <row r="1273" customFormat="false" ht="18" hidden="false" customHeight="true" outlineLevel="0" collapsed="false">
      <c r="A1273" s="14" t="s">
        <v>242</v>
      </c>
      <c r="B1273" s="0" t="n">
        <f aca="false">'02 SIZE_RUN'!AF35</f>
        <v>0</v>
      </c>
    </row>
    <row r="1274" customFormat="false" ht="18" hidden="false" customHeight="true" outlineLevel="0" collapsed="false">
      <c r="A1274" s="10" t="str">
        <f aca="false">"TOTAL SIZE: "&amp;'02 SIZE_RUN'!AG35&amp;" | SELISIH: "&amp;'02 SIZE_RUN'!AH35</f>
        <v>TOTAL SIZE: 370 | SELISIH: 0</v>
      </c>
      <c r="B1274" s="10"/>
      <c r="C1274" s="10"/>
      <c r="D1274" s="10"/>
      <c r="E1274" s="10"/>
      <c r="F1274" s="10"/>
      <c r="G1274" s="10"/>
      <c r="H1274" s="10"/>
    </row>
    <row r="1275" customFormat="false" ht="18" hidden="false" customHeight="true" outlineLevel="0" collapsed="false">
      <c r="A1275" s="10" t="s">
        <v>255</v>
      </c>
      <c r="B1275" s="10"/>
      <c r="C1275" s="10"/>
      <c r="D1275" s="13" t="str">
        <f aca="false">IF('01 ADMIN_ORDER'!P35="","BELUM DITETAPKAN",TEXT('01 ADMIN_ORDER'!P35,"dd mmm yyyy"))</f>
        <v>BELUM DITETAPKAN</v>
      </c>
      <c r="E1275" s="13"/>
      <c r="F1275" s="13"/>
      <c r="G1275" s="13"/>
      <c r="H1275" s="13"/>
    </row>
    <row r="1276" customFormat="false" ht="18" hidden="false" customHeight="true" outlineLevel="0" collapsed="false">
      <c r="A1276" s="10" t="s">
        <v>256</v>
      </c>
      <c r="B1276" s="10"/>
      <c r="C1276" s="10"/>
      <c r="D1276" s="13" t="str">
        <f aca="false">IF('01 ADMIN_ORDER'!Q35="","BELUM DITETAPKAN",TEXT('01 ADMIN_ORDER'!Q35,"dd mmm yyyy"))</f>
        <v>BELUM DITETAPKAN</v>
      </c>
      <c r="E1276" s="13"/>
      <c r="F1276" s="13"/>
      <c r="G1276" s="13"/>
      <c r="H1276" s="13"/>
    </row>
    <row r="1277" customFormat="false" ht="25.5" hidden="false" customHeight="true" outlineLevel="0" collapsed="false">
      <c r="A1277" s="12" t="str">
        <f aca="false">"REFERENSI ASSEMBLY (bukan target upper): "&amp;TEXT('01 ADMIN_ORDER'!M35,"dd mmm yyyy")&amp;" - "&amp;TEXT('01 ADMIN_ORDER'!N35,"dd mmm yyyy")</f>
        <v>REFERENSI ASSEMBLY (bukan target upper): 21 Oct 2026 - 22 Oct 2026</v>
      </c>
      <c r="B1277" s="12"/>
      <c r="C1277" s="12"/>
      <c r="D1277" s="12"/>
      <c r="E1277" s="12"/>
      <c r="F1277" s="12"/>
      <c r="G1277" s="12"/>
      <c r="H1277" s="12"/>
    </row>
    <row r="1278" customFormat="false" ht="18" hidden="false" customHeight="true" outlineLevel="0" collapsed="false">
      <c r="A1278" s="10" t="s">
        <v>257</v>
      </c>
      <c r="B1278" s="10"/>
      <c r="C1278" s="10"/>
      <c r="D1278" s="13" t="str">
        <f aca="false">IF('04 KESIAPAN'!G35="","BELUM DIISI",'04 KESIAPAN'!G35)</f>
        <v>BELUM DIISI</v>
      </c>
      <c r="E1278" s="13"/>
      <c r="F1278" s="13"/>
      <c r="G1278" s="13"/>
      <c r="H1278" s="13"/>
    </row>
    <row r="1279" customFormat="false" ht="18" hidden="false" customHeight="true" outlineLevel="0" collapsed="false">
      <c r="A1279" s="10" t="s">
        <v>258</v>
      </c>
      <c r="B1279" s="10"/>
      <c r="C1279" s="10"/>
      <c r="D1279" s="13" t="str">
        <f aca="false">IF('04 KESIAPAN'!H35="","BELUM DIISI",'04 KESIAPAN'!H35)</f>
        <v>BELUM DIISI</v>
      </c>
      <c r="E1279" s="13"/>
      <c r="F1279" s="13"/>
      <c r="G1279" s="13"/>
      <c r="H1279" s="13"/>
    </row>
    <row r="1280" customFormat="false" ht="18" hidden="false" customHeight="true" outlineLevel="0" collapsed="false">
      <c r="A1280" s="10" t="s">
        <v>259</v>
      </c>
      <c r="B1280" s="10"/>
      <c r="C1280" s="10"/>
      <c r="D1280" s="13" t="str">
        <f aca="false">IF('04 KESIAPAN'!I35="","BELUM DIISI",'04 KESIAPAN'!I35)</f>
        <v>BELUM DIISI</v>
      </c>
      <c r="E1280" s="13"/>
      <c r="F1280" s="13"/>
      <c r="G1280" s="13"/>
      <c r="H1280" s="13"/>
    </row>
    <row r="1281" customFormat="false" ht="18" hidden="false" customHeight="true" outlineLevel="0" collapsed="false">
      <c r="A1281" s="10" t="s">
        <v>260</v>
      </c>
      <c r="B1281" s="10"/>
      <c r="C1281" s="10"/>
      <c r="D1281" s="13" t="str">
        <f aca="false">IF('04 KESIAPAN'!K35="","BELUM DIISI",'04 KESIAPAN'!K35)</f>
        <v>BELUM DIISI</v>
      </c>
      <c r="E1281" s="13"/>
      <c r="F1281" s="13"/>
      <c r="G1281" s="13"/>
      <c r="H1281" s="13"/>
    </row>
    <row r="1282" customFormat="false" ht="18" hidden="false" customHeight="true" outlineLevel="0" collapsed="false">
      <c r="A1282" s="10" t="s">
        <v>261</v>
      </c>
      <c r="B1282" s="10"/>
      <c r="C1282" s="10"/>
      <c r="D1282" s="13" t="str">
        <f aca="false">IF('04 KESIAPAN'!L35="","BELUM DIISI",'04 KESIAPAN'!L35)</f>
        <v>BELUM DIISI</v>
      </c>
      <c r="E1282" s="13"/>
      <c r="F1282" s="13"/>
      <c r="G1282" s="13"/>
      <c r="H1282" s="13"/>
    </row>
    <row r="1283" customFormat="false" ht="18" hidden="false" customHeight="true" outlineLevel="0" collapsed="false">
      <c r="A1283" s="10" t="s">
        <v>262</v>
      </c>
      <c r="B1283" s="10"/>
      <c r="C1283" s="10"/>
      <c r="D1283" s="13" t="str">
        <f aca="false">IF('04 KESIAPAN'!N35="","BELUM DIISI",'04 KESIAPAN'!N35)</f>
        <v>BELUM DIISI</v>
      </c>
      <c r="E1283" s="13"/>
      <c r="F1283" s="13"/>
      <c r="G1283" s="13"/>
      <c r="H1283" s="13"/>
    </row>
    <row r="1284" customFormat="false" ht="18" hidden="false" customHeight="true" outlineLevel="0" collapsed="false">
      <c r="A1284" s="10" t="s">
        <v>263</v>
      </c>
      <c r="B1284" s="10"/>
      <c r="C1284" s="10"/>
      <c r="D1284" s="13" t="str">
        <f aca="false">IF('04 KESIAPAN'!P35="","BELUM DIISI",'04 KESIAPAN'!P35)</f>
        <v>BELUM DIISI</v>
      </c>
      <c r="E1284" s="13"/>
      <c r="F1284" s="13"/>
      <c r="G1284" s="13"/>
      <c r="H1284" s="13"/>
    </row>
    <row r="1285" customFormat="false" ht="18" hidden="false" customHeight="true" outlineLevel="0" collapsed="false">
      <c r="A1285" s="7" t="s">
        <v>264</v>
      </c>
      <c r="B1285" s="7"/>
      <c r="C1285" s="7"/>
      <c r="D1285" s="7"/>
      <c r="E1285" s="7"/>
      <c r="F1285" s="7"/>
      <c r="G1285" s="7"/>
      <c r="H1285" s="7"/>
    </row>
    <row r="1286" customFormat="false" ht="18" hidden="false" customHeight="true" outlineLevel="0" collapsed="false">
      <c r="A1286" s="13"/>
      <c r="B1286" s="13"/>
      <c r="C1286" s="13"/>
      <c r="D1286" s="13"/>
      <c r="E1286" s="13"/>
      <c r="F1286" s="13"/>
      <c r="G1286" s="13"/>
      <c r="H1286" s="13"/>
    </row>
    <row r="1287" customFormat="false" ht="18" hidden="false" customHeight="true" outlineLevel="0" collapsed="false">
      <c r="A1287" s="13"/>
      <c r="B1287" s="13"/>
      <c r="C1287" s="13"/>
      <c r="D1287" s="13"/>
      <c r="E1287" s="13"/>
      <c r="F1287" s="13"/>
      <c r="G1287" s="13"/>
      <c r="H1287" s="13"/>
    </row>
    <row r="1288" customFormat="false" ht="18" hidden="false" customHeight="true" outlineLevel="0" collapsed="false">
      <c r="A1288" s="13"/>
      <c r="B1288" s="13"/>
      <c r="C1288" s="13"/>
      <c r="D1288" s="13"/>
      <c r="E1288" s="13"/>
      <c r="F1288" s="13"/>
      <c r="G1288" s="13"/>
      <c r="H1288" s="13"/>
    </row>
    <row r="1289" customFormat="false" ht="18" hidden="false" customHeight="true" outlineLevel="0" collapsed="false">
      <c r="A1289" s="12" t="s">
        <v>265</v>
      </c>
      <c r="B1289" s="12"/>
      <c r="C1289" s="12"/>
      <c r="D1289" s="12"/>
      <c r="E1289" s="12" t="s">
        <v>266</v>
      </c>
      <c r="F1289" s="12"/>
      <c r="G1289" s="12"/>
      <c r="H1289" s="12"/>
    </row>
    <row r="1290" customFormat="false" ht="18" hidden="false" customHeight="true" outlineLevel="0" collapsed="false">
      <c r="A1290" s="12" t="s">
        <v>300</v>
      </c>
      <c r="B1290" s="12"/>
      <c r="C1290" s="12"/>
      <c r="D1290" s="12"/>
      <c r="E1290" s="12"/>
      <c r="F1290" s="12"/>
      <c r="G1290" s="12"/>
      <c r="H1290" s="12"/>
    </row>
    <row r="1291" customFormat="false" ht="18" hidden="false" customHeight="true" outlineLevel="0" collapsed="false"/>
    <row r="1292" customFormat="false" ht="18" hidden="false" customHeight="true" outlineLevel="0" collapsed="false"/>
    <row r="1293" customFormat="false" ht="25.5" hidden="false" customHeight="true" outlineLevel="0" collapsed="false">
      <c r="A1293" s="7" t="s">
        <v>246</v>
      </c>
      <c r="B1293" s="7"/>
      <c r="C1293" s="7"/>
      <c r="D1293" s="7"/>
      <c r="E1293" s="7"/>
      <c r="F1293" s="7"/>
      <c r="G1293" s="7"/>
      <c r="H1293" s="7"/>
    </row>
    <row r="1294" customFormat="false" ht="18" hidden="false" customHeight="true" outlineLevel="0" collapsed="false">
      <c r="A1294" s="8" t="str">
        <f aca="false">'01 ADMIN_ORDER'!R36</f>
        <v>DRAFT - PERLU VERIFIKASI</v>
      </c>
      <c r="B1294" s="8"/>
      <c r="C1294" s="8"/>
      <c r="D1294" s="8"/>
      <c r="E1294" s="8"/>
      <c r="F1294" s="8"/>
      <c r="G1294" s="8"/>
      <c r="H1294" s="8"/>
    </row>
    <row r="1295" customFormat="false" ht="18" hidden="false" customHeight="true" outlineLevel="0" collapsed="false">
      <c r="A1295" s="9" t="s">
        <v>247</v>
      </c>
      <c r="B1295" s="9"/>
      <c r="C1295" s="9"/>
      <c r="D1295" s="9"/>
      <c r="E1295" s="9"/>
      <c r="F1295" s="9"/>
      <c r="G1295" s="9"/>
      <c r="H1295" s="9"/>
    </row>
    <row r="1296" customFormat="false" ht="18" hidden="false" customHeight="true" outlineLevel="0" collapsed="false">
      <c r="A1296" s="10" t="s">
        <v>248</v>
      </c>
      <c r="B1296" s="10"/>
      <c r="C1296" s="11" t="str">
        <f aca="false">'01 ADMIN_ORDER'!A36</f>
        <v>171/10/35 (59)</v>
      </c>
      <c r="D1296" s="11"/>
      <c r="E1296" s="11"/>
      <c r="F1296" s="11"/>
      <c r="G1296" s="11"/>
      <c r="H1296" s="11"/>
    </row>
    <row r="1297" customFormat="false" ht="18" hidden="false" customHeight="true" outlineLevel="0" collapsed="false">
      <c r="A1297" s="10" t="s">
        <v>249</v>
      </c>
      <c r="B1297" s="10"/>
      <c r="C1297" s="12" t="str">
        <f aca="false">'01 ADMIN_ORDER'!C36&amp;" / "&amp;'01 ADMIN_ORDER'!D36</f>
        <v>FRONTCOURT LOW / LA6617</v>
      </c>
      <c r="D1297" s="12"/>
      <c r="E1297" s="12"/>
      <c r="F1297" s="12"/>
      <c r="G1297" s="12"/>
      <c r="H1297" s="12"/>
    </row>
    <row r="1298" customFormat="false" ht="18" hidden="false" customHeight="true" outlineLevel="0" collapsed="false">
      <c r="A1298" s="10" t="s">
        <v>250</v>
      </c>
      <c r="B1298" s="10"/>
      <c r="C1298" s="12" t="str">
        <f aca="false">'01 ADMIN_ORDER'!E36</f>
        <v>903417865</v>
      </c>
      <c r="D1298" s="12"/>
      <c r="E1298" s="12"/>
      <c r="F1298" s="12"/>
      <c r="G1298" s="12"/>
      <c r="H1298" s="12"/>
    </row>
    <row r="1299" customFormat="false" ht="27.75" hidden="false" customHeight="true" outlineLevel="0" collapsed="false">
      <c r="A1299" s="10" t="s">
        <v>251</v>
      </c>
      <c r="B1299" s="10"/>
      <c r="C1299" s="12" t="str">
        <f aca="false">'01 ADMIN_ORDER'!H36</f>
        <v>OLIVE TWO/OFF WHITE/OLIVE THREE</v>
      </c>
      <c r="D1299" s="12"/>
      <c r="E1299" s="12"/>
      <c r="F1299" s="12"/>
      <c r="G1299" s="12"/>
      <c r="H1299" s="12"/>
    </row>
    <row r="1300" customFormat="false" ht="18" hidden="false" customHeight="true" outlineLevel="0" collapsed="false">
      <c r="A1300" s="10" t="s">
        <v>252</v>
      </c>
      <c r="B1300" s="10"/>
      <c r="C1300" s="12" t="str">
        <f aca="false">'01 ADMIN_ORDER'!B36&amp;" / "&amp;'01 ADMIN_ORDER'!G36</f>
        <v>A-19 / Germany (Zalando)</v>
      </c>
      <c r="D1300" s="12"/>
      <c r="E1300" s="12"/>
      <c r="F1300" s="12"/>
      <c r="G1300" s="12"/>
      <c r="H1300" s="12"/>
    </row>
    <row r="1301" customFormat="false" ht="18" hidden="false" customHeight="true" outlineLevel="0" collapsed="false">
      <c r="A1301" s="10" t="s">
        <v>253</v>
      </c>
      <c r="B1301" s="10"/>
      <c r="C1301" s="13" t="str">
        <f aca="false">'01 ADMIN_ORDER'!I36&amp;" / "&amp;IF('04 KESIAPAN'!B36="","UOM BELUM DIISI",'04 KESIAPAN'!B36)</f>
        <v>618 / UOM BELUM DIISI</v>
      </c>
      <c r="D1301" s="13"/>
      <c r="E1301" s="13"/>
      <c r="F1301" s="13"/>
      <c r="G1301" s="13"/>
      <c r="H1301" s="13"/>
    </row>
    <row r="1302" customFormat="false" ht="18" hidden="false" customHeight="true" outlineLevel="0" collapsed="false">
      <c r="A1302" s="13" t="str">
        <f aca="false">IF('04 KESIAPAN'!C36="","SISTEM UKURAN BELUM DIISI",'04 KESIAPAN'!C36)&amp;" | Tanda -: "&amp;IF('04 KESIAPAN'!D36="","BELUM DIKONFIRMASI",'04 KESIAPAN'!D36)</f>
        <v>SISTEM UKURAN BELUM DIISI | Tanda -: BELUM DIKONFIRMASI</v>
      </c>
      <c r="B1302" s="13"/>
      <c r="C1302" s="13"/>
      <c r="D1302" s="13"/>
      <c r="E1302" s="13"/>
      <c r="F1302" s="13"/>
      <c r="G1302" s="13"/>
      <c r="H1302" s="13"/>
    </row>
    <row r="1303" customFormat="false" ht="18" hidden="false" customHeight="true" outlineLevel="0" collapsed="false">
      <c r="A1303" s="7" t="s">
        <v>254</v>
      </c>
      <c r="B1303" s="7"/>
      <c r="C1303" s="7"/>
      <c r="D1303" s="7"/>
      <c r="E1303" s="7"/>
      <c r="F1303" s="7"/>
      <c r="G1303" s="7"/>
      <c r="H1303" s="7"/>
    </row>
    <row r="1304" customFormat="false" ht="18" hidden="false" customHeight="true" outlineLevel="0" collapsed="false">
      <c r="A1304" s="14" t="s">
        <v>214</v>
      </c>
      <c r="B1304" s="0" t="n">
        <f aca="false">'02 SIZE_RUN'!D36</f>
        <v>2</v>
      </c>
      <c r="C1304" s="14" t="s">
        <v>215</v>
      </c>
      <c r="D1304" s="0" t="n">
        <f aca="false">'02 SIZE_RUN'!E36</f>
        <v>6</v>
      </c>
      <c r="E1304" s="14" t="s">
        <v>216</v>
      </c>
      <c r="F1304" s="0" t="n">
        <f aca="false">'02 SIZE_RUN'!F36</f>
        <v>10</v>
      </c>
      <c r="G1304" s="14" t="s">
        <v>217</v>
      </c>
      <c r="H1304" s="0" t="n">
        <f aca="false">'02 SIZE_RUN'!G36</f>
        <v>39</v>
      </c>
    </row>
    <row r="1305" customFormat="false" ht="18" hidden="false" customHeight="true" outlineLevel="0" collapsed="false">
      <c r="A1305" s="14" t="s">
        <v>218</v>
      </c>
      <c r="B1305" s="0" t="n">
        <f aca="false">'02 SIZE_RUN'!H36</f>
        <v>39</v>
      </c>
      <c r="C1305" s="14" t="s">
        <v>219</v>
      </c>
      <c r="D1305" s="0" t="n">
        <f aca="false">'02 SIZE_RUN'!I36</f>
        <v>68</v>
      </c>
      <c r="E1305" s="14" t="s">
        <v>220</v>
      </c>
      <c r="F1305" s="0" t="n">
        <f aca="false">'02 SIZE_RUN'!J36</f>
        <v>58</v>
      </c>
      <c r="G1305" s="14" t="s">
        <v>221</v>
      </c>
      <c r="H1305" s="0" t="n">
        <f aca="false">'02 SIZE_RUN'!K36</f>
        <v>43</v>
      </c>
    </row>
    <row r="1306" customFormat="false" ht="18" hidden="false" customHeight="true" outlineLevel="0" collapsed="false">
      <c r="A1306" s="14" t="s">
        <v>222</v>
      </c>
      <c r="B1306" s="0" t="n">
        <f aca="false">'02 SIZE_RUN'!L36</f>
        <v>39</v>
      </c>
      <c r="C1306" s="14" t="s">
        <v>223</v>
      </c>
      <c r="D1306" s="0" t="n">
        <f aca="false">'02 SIZE_RUN'!M36</f>
        <v>38</v>
      </c>
      <c r="E1306" s="14" t="s">
        <v>224</v>
      </c>
      <c r="F1306" s="0" t="n">
        <f aca="false">'02 SIZE_RUN'!N36</f>
        <v>32</v>
      </c>
      <c r="G1306" s="14" t="s">
        <v>225</v>
      </c>
      <c r="H1306" s="0" t="n">
        <f aca="false">'02 SIZE_RUN'!O36</f>
        <v>25</v>
      </c>
    </row>
    <row r="1307" customFormat="false" ht="18" hidden="false" customHeight="true" outlineLevel="0" collapsed="false">
      <c r="A1307" s="14" t="s">
        <v>226</v>
      </c>
      <c r="B1307" s="0" t="n">
        <f aca="false">'02 SIZE_RUN'!P36</f>
        <v>46</v>
      </c>
      <c r="C1307" s="14" t="s">
        <v>227</v>
      </c>
      <c r="D1307" s="0" t="n">
        <f aca="false">'02 SIZE_RUN'!Q36</f>
        <v>22</v>
      </c>
      <c r="E1307" s="14" t="s">
        <v>228</v>
      </c>
      <c r="F1307" s="0" t="n">
        <f aca="false">'02 SIZE_RUN'!R36</f>
        <v>23</v>
      </c>
      <c r="G1307" s="14" t="s">
        <v>229</v>
      </c>
      <c r="H1307" s="0" t="n">
        <f aca="false">'02 SIZE_RUN'!S36</f>
        <v>26</v>
      </c>
    </row>
    <row r="1308" customFormat="false" ht="18" hidden="false" customHeight="true" outlineLevel="0" collapsed="false">
      <c r="A1308" s="14" t="s">
        <v>230</v>
      </c>
      <c r="B1308" s="0" t="n">
        <f aca="false">'02 SIZE_RUN'!T36</f>
        <v>55</v>
      </c>
      <c r="C1308" s="14" t="s">
        <v>231</v>
      </c>
      <c r="D1308" s="0" t="n">
        <f aca="false">'02 SIZE_RUN'!U36</f>
        <v>18</v>
      </c>
      <c r="E1308" s="14" t="s">
        <v>232</v>
      </c>
      <c r="F1308" s="0" t="n">
        <f aca="false">'02 SIZE_RUN'!V36</f>
        <v>18</v>
      </c>
      <c r="G1308" s="14" t="s">
        <v>233</v>
      </c>
      <c r="H1308" s="0" t="n">
        <f aca="false">'02 SIZE_RUN'!W36</f>
        <v>7</v>
      </c>
    </row>
    <row r="1309" customFormat="false" ht="18" hidden="false" customHeight="true" outlineLevel="0" collapsed="false">
      <c r="A1309" s="14" t="s">
        <v>234</v>
      </c>
      <c r="B1309" s="0" t="n">
        <f aca="false">'02 SIZE_RUN'!X36</f>
        <v>0</v>
      </c>
      <c r="C1309" s="14" t="s">
        <v>235</v>
      </c>
      <c r="D1309" s="0" t="n">
        <f aca="false">'02 SIZE_RUN'!Y36</f>
        <v>4</v>
      </c>
      <c r="E1309" s="14" t="s">
        <v>236</v>
      </c>
      <c r="F1309" s="0" t="n">
        <f aca="false">'02 SIZE_RUN'!Z36</f>
        <v>0</v>
      </c>
      <c r="G1309" s="14" t="s">
        <v>237</v>
      </c>
      <c r="H1309" s="0" t="n">
        <f aca="false">'02 SIZE_RUN'!AA36</f>
        <v>0</v>
      </c>
    </row>
    <row r="1310" customFormat="false" ht="18" hidden="false" customHeight="true" outlineLevel="0" collapsed="false">
      <c r="A1310" s="14" t="s">
        <v>238</v>
      </c>
      <c r="B1310" s="0" t="n">
        <f aca="false">'02 SIZE_RUN'!AB36</f>
        <v>0</v>
      </c>
      <c r="C1310" s="14" t="s">
        <v>239</v>
      </c>
      <c r="D1310" s="0" t="n">
        <f aca="false">'02 SIZE_RUN'!AC36</f>
        <v>0</v>
      </c>
      <c r="E1310" s="14" t="s">
        <v>240</v>
      </c>
      <c r="F1310" s="0" t="n">
        <f aca="false">'02 SIZE_RUN'!AD36</f>
        <v>0</v>
      </c>
      <c r="G1310" s="14" t="s">
        <v>241</v>
      </c>
      <c r="H1310" s="0" t="n">
        <f aca="false">'02 SIZE_RUN'!AE36</f>
        <v>0</v>
      </c>
    </row>
    <row r="1311" customFormat="false" ht="18" hidden="false" customHeight="true" outlineLevel="0" collapsed="false">
      <c r="A1311" s="14" t="s">
        <v>242</v>
      </c>
      <c r="B1311" s="0" t="n">
        <f aca="false">'02 SIZE_RUN'!AF36</f>
        <v>0</v>
      </c>
    </row>
    <row r="1312" customFormat="false" ht="18" hidden="false" customHeight="true" outlineLevel="0" collapsed="false">
      <c r="A1312" s="10" t="str">
        <f aca="false">"TOTAL SIZE: "&amp;'02 SIZE_RUN'!AG36&amp;" | SELISIH: "&amp;'02 SIZE_RUN'!AH36</f>
        <v>TOTAL SIZE: 618 | SELISIH: 0</v>
      </c>
      <c r="B1312" s="10"/>
      <c r="C1312" s="10"/>
      <c r="D1312" s="10"/>
      <c r="E1312" s="10"/>
      <c r="F1312" s="10"/>
      <c r="G1312" s="10"/>
      <c r="H1312" s="10"/>
    </row>
    <row r="1313" customFormat="false" ht="18" hidden="false" customHeight="true" outlineLevel="0" collapsed="false">
      <c r="A1313" s="10" t="s">
        <v>255</v>
      </c>
      <c r="B1313" s="10"/>
      <c r="C1313" s="10"/>
      <c r="D1313" s="13" t="str">
        <f aca="false">IF('01 ADMIN_ORDER'!P36="","BELUM DITETAPKAN",TEXT('01 ADMIN_ORDER'!P36,"dd mmm yyyy"))</f>
        <v>BELUM DITETAPKAN</v>
      </c>
      <c r="E1313" s="13"/>
      <c r="F1313" s="13"/>
      <c r="G1313" s="13"/>
      <c r="H1313" s="13"/>
    </row>
    <row r="1314" customFormat="false" ht="18" hidden="false" customHeight="true" outlineLevel="0" collapsed="false">
      <c r="A1314" s="10" t="s">
        <v>256</v>
      </c>
      <c r="B1314" s="10"/>
      <c r="C1314" s="10"/>
      <c r="D1314" s="13" t="str">
        <f aca="false">IF('01 ADMIN_ORDER'!Q36="","BELUM DITETAPKAN",TEXT('01 ADMIN_ORDER'!Q36,"dd mmm yyyy"))</f>
        <v>BELUM DITETAPKAN</v>
      </c>
      <c r="E1314" s="13"/>
      <c r="F1314" s="13"/>
      <c r="G1314" s="13"/>
      <c r="H1314" s="13"/>
    </row>
    <row r="1315" customFormat="false" ht="25.5" hidden="false" customHeight="true" outlineLevel="0" collapsed="false">
      <c r="A1315" s="12" t="str">
        <f aca="false">"REFERENSI ASSEMBLY (bukan target upper): "&amp;TEXT('01 ADMIN_ORDER'!M36,"dd mmm yyyy")&amp;" - "&amp;TEXT('01 ADMIN_ORDER'!N36,"dd mmm yyyy")</f>
        <v>REFERENSI ASSEMBLY (bukan target upper): 22 Oct 2026 - 22 Oct 2026</v>
      </c>
      <c r="B1315" s="12"/>
      <c r="C1315" s="12"/>
      <c r="D1315" s="12"/>
      <c r="E1315" s="12"/>
      <c r="F1315" s="12"/>
      <c r="G1315" s="12"/>
      <c r="H1315" s="12"/>
    </row>
    <row r="1316" customFormat="false" ht="18" hidden="false" customHeight="true" outlineLevel="0" collapsed="false">
      <c r="A1316" s="10" t="s">
        <v>257</v>
      </c>
      <c r="B1316" s="10"/>
      <c r="C1316" s="10"/>
      <c r="D1316" s="13" t="str">
        <f aca="false">IF('04 KESIAPAN'!G36="","BELUM DIISI",'04 KESIAPAN'!G36)</f>
        <v>BELUM DIISI</v>
      </c>
      <c r="E1316" s="13"/>
      <c r="F1316" s="13"/>
      <c r="G1316" s="13"/>
      <c r="H1316" s="13"/>
    </row>
    <row r="1317" customFormat="false" ht="18" hidden="false" customHeight="true" outlineLevel="0" collapsed="false">
      <c r="A1317" s="10" t="s">
        <v>258</v>
      </c>
      <c r="B1317" s="10"/>
      <c r="C1317" s="10"/>
      <c r="D1317" s="13" t="str">
        <f aca="false">IF('04 KESIAPAN'!H36="","BELUM DIISI",'04 KESIAPAN'!H36)</f>
        <v>BELUM DIISI</v>
      </c>
      <c r="E1317" s="13"/>
      <c r="F1317" s="13"/>
      <c r="G1317" s="13"/>
      <c r="H1317" s="13"/>
    </row>
    <row r="1318" customFormat="false" ht="18" hidden="false" customHeight="true" outlineLevel="0" collapsed="false">
      <c r="A1318" s="10" t="s">
        <v>259</v>
      </c>
      <c r="B1318" s="10"/>
      <c r="C1318" s="10"/>
      <c r="D1318" s="13" t="str">
        <f aca="false">IF('04 KESIAPAN'!I36="","BELUM DIISI",'04 KESIAPAN'!I36)</f>
        <v>BELUM DIISI</v>
      </c>
      <c r="E1318" s="13"/>
      <c r="F1318" s="13"/>
      <c r="G1318" s="13"/>
      <c r="H1318" s="13"/>
    </row>
    <row r="1319" customFormat="false" ht="18" hidden="false" customHeight="true" outlineLevel="0" collapsed="false">
      <c r="A1319" s="10" t="s">
        <v>260</v>
      </c>
      <c r="B1319" s="10"/>
      <c r="C1319" s="10"/>
      <c r="D1319" s="13" t="str">
        <f aca="false">IF('04 KESIAPAN'!K36="","BELUM DIISI",'04 KESIAPAN'!K36)</f>
        <v>BELUM DIISI</v>
      </c>
      <c r="E1319" s="13"/>
      <c r="F1319" s="13"/>
      <c r="G1319" s="13"/>
      <c r="H1319" s="13"/>
    </row>
    <row r="1320" customFormat="false" ht="18" hidden="false" customHeight="true" outlineLevel="0" collapsed="false">
      <c r="A1320" s="10" t="s">
        <v>261</v>
      </c>
      <c r="B1320" s="10"/>
      <c r="C1320" s="10"/>
      <c r="D1320" s="13" t="str">
        <f aca="false">IF('04 KESIAPAN'!L36="","BELUM DIISI",'04 KESIAPAN'!L36)</f>
        <v>BELUM DIISI</v>
      </c>
      <c r="E1320" s="13"/>
      <c r="F1320" s="13"/>
      <c r="G1320" s="13"/>
      <c r="H1320" s="13"/>
    </row>
    <row r="1321" customFormat="false" ht="18" hidden="false" customHeight="true" outlineLevel="0" collapsed="false">
      <c r="A1321" s="10" t="s">
        <v>262</v>
      </c>
      <c r="B1321" s="10"/>
      <c r="C1321" s="10"/>
      <c r="D1321" s="13" t="str">
        <f aca="false">IF('04 KESIAPAN'!N36="","BELUM DIISI",'04 KESIAPAN'!N36)</f>
        <v>BELUM DIISI</v>
      </c>
      <c r="E1321" s="13"/>
      <c r="F1321" s="13"/>
      <c r="G1321" s="13"/>
      <c r="H1321" s="13"/>
    </row>
    <row r="1322" customFormat="false" ht="18" hidden="false" customHeight="true" outlineLevel="0" collapsed="false">
      <c r="A1322" s="10" t="s">
        <v>263</v>
      </c>
      <c r="B1322" s="10"/>
      <c r="C1322" s="10"/>
      <c r="D1322" s="13" t="str">
        <f aca="false">IF('04 KESIAPAN'!P36="","BELUM DIISI",'04 KESIAPAN'!P36)</f>
        <v>BELUM DIISI</v>
      </c>
      <c r="E1322" s="13"/>
      <c r="F1322" s="13"/>
      <c r="G1322" s="13"/>
      <c r="H1322" s="13"/>
    </row>
    <row r="1323" customFormat="false" ht="18" hidden="false" customHeight="true" outlineLevel="0" collapsed="false">
      <c r="A1323" s="7" t="s">
        <v>264</v>
      </c>
      <c r="B1323" s="7"/>
      <c r="C1323" s="7"/>
      <c r="D1323" s="7"/>
      <c r="E1323" s="7"/>
      <c r="F1323" s="7"/>
      <c r="G1323" s="7"/>
      <c r="H1323" s="7"/>
    </row>
    <row r="1324" customFormat="false" ht="18" hidden="false" customHeight="true" outlineLevel="0" collapsed="false">
      <c r="A1324" s="13"/>
      <c r="B1324" s="13"/>
      <c r="C1324" s="13"/>
      <c r="D1324" s="13"/>
      <c r="E1324" s="13"/>
      <c r="F1324" s="13"/>
      <c r="G1324" s="13"/>
      <c r="H1324" s="13"/>
    </row>
    <row r="1325" customFormat="false" ht="18" hidden="false" customHeight="true" outlineLevel="0" collapsed="false">
      <c r="A1325" s="13"/>
      <c r="B1325" s="13"/>
      <c r="C1325" s="13"/>
      <c r="D1325" s="13"/>
      <c r="E1325" s="13"/>
      <c r="F1325" s="13"/>
      <c r="G1325" s="13"/>
      <c r="H1325" s="13"/>
    </row>
    <row r="1326" customFormat="false" ht="18" hidden="false" customHeight="true" outlineLevel="0" collapsed="false">
      <c r="A1326" s="13"/>
      <c r="B1326" s="13"/>
      <c r="C1326" s="13"/>
      <c r="D1326" s="13"/>
      <c r="E1326" s="13"/>
      <c r="F1326" s="13"/>
      <c r="G1326" s="13"/>
      <c r="H1326" s="13"/>
    </row>
    <row r="1327" customFormat="false" ht="18" hidden="false" customHeight="true" outlineLevel="0" collapsed="false">
      <c r="A1327" s="12" t="s">
        <v>265</v>
      </c>
      <c r="B1327" s="12"/>
      <c r="C1327" s="12"/>
      <c r="D1327" s="12"/>
      <c r="E1327" s="12" t="s">
        <v>266</v>
      </c>
      <c r="F1327" s="12"/>
      <c r="G1327" s="12"/>
      <c r="H1327" s="12"/>
    </row>
    <row r="1328" customFormat="false" ht="18" hidden="false" customHeight="true" outlineLevel="0" collapsed="false">
      <c r="A1328" s="12" t="s">
        <v>301</v>
      </c>
      <c r="B1328" s="12"/>
      <c r="C1328" s="12"/>
      <c r="D1328" s="12"/>
      <c r="E1328" s="12"/>
      <c r="F1328" s="12"/>
      <c r="G1328" s="12"/>
      <c r="H1328" s="12"/>
    </row>
    <row r="1329" customFormat="false" ht="18" hidden="false" customHeight="true" outlineLevel="0" collapsed="false"/>
    <row r="1330" customFormat="false" ht="18" hidden="false" customHeight="true" outlineLevel="0" collapsed="false"/>
    <row r="1331" customFormat="false" ht="25.5" hidden="false" customHeight="true" outlineLevel="0" collapsed="false">
      <c r="A1331" s="7" t="s">
        <v>246</v>
      </c>
      <c r="B1331" s="7"/>
      <c r="C1331" s="7"/>
      <c r="D1331" s="7"/>
      <c r="E1331" s="7"/>
      <c r="F1331" s="7"/>
      <c r="G1331" s="7"/>
      <c r="H1331" s="7"/>
    </row>
    <row r="1332" customFormat="false" ht="18" hidden="false" customHeight="true" outlineLevel="0" collapsed="false">
      <c r="A1332" s="8" t="str">
        <f aca="false">'01 ADMIN_ORDER'!R37</f>
        <v>DRAFT - PERLU VERIFIKASI</v>
      </c>
      <c r="B1332" s="8"/>
      <c r="C1332" s="8"/>
      <c r="D1332" s="8"/>
      <c r="E1332" s="8"/>
      <c r="F1332" s="8"/>
      <c r="G1332" s="8"/>
      <c r="H1332" s="8"/>
    </row>
    <row r="1333" customFormat="false" ht="18" hidden="false" customHeight="true" outlineLevel="0" collapsed="false">
      <c r="A1333" s="9" t="s">
        <v>247</v>
      </c>
      <c r="B1333" s="9"/>
      <c r="C1333" s="9"/>
      <c r="D1333" s="9"/>
      <c r="E1333" s="9"/>
      <c r="F1333" s="9"/>
      <c r="G1333" s="9"/>
      <c r="H1333" s="9"/>
    </row>
    <row r="1334" customFormat="false" ht="18" hidden="false" customHeight="true" outlineLevel="0" collapsed="false">
      <c r="A1334" s="10" t="s">
        <v>248</v>
      </c>
      <c r="B1334" s="10"/>
      <c r="C1334" s="11" t="str">
        <f aca="false">'01 ADMIN_ORDER'!A37</f>
        <v>172/10/36 (59)</v>
      </c>
      <c r="D1334" s="11"/>
      <c r="E1334" s="11"/>
      <c r="F1334" s="11"/>
      <c r="G1334" s="11"/>
      <c r="H1334" s="11"/>
    </row>
    <row r="1335" customFormat="false" ht="18" hidden="false" customHeight="true" outlineLevel="0" collapsed="false">
      <c r="A1335" s="10" t="s">
        <v>249</v>
      </c>
      <c r="B1335" s="10"/>
      <c r="C1335" s="12" t="str">
        <f aca="false">'01 ADMIN_ORDER'!C37&amp;" / "&amp;'01 ADMIN_ORDER'!D37</f>
        <v>FRONTCOURT LOW / LA6615</v>
      </c>
      <c r="D1335" s="12"/>
      <c r="E1335" s="12"/>
      <c r="F1335" s="12"/>
      <c r="G1335" s="12"/>
      <c r="H1335" s="12"/>
    </row>
    <row r="1336" customFormat="false" ht="18" hidden="false" customHeight="true" outlineLevel="0" collapsed="false">
      <c r="A1336" s="10" t="s">
        <v>250</v>
      </c>
      <c r="B1336" s="10"/>
      <c r="C1336" s="12" t="str">
        <f aca="false">'01 ADMIN_ORDER'!E37</f>
        <v>903399221</v>
      </c>
      <c r="D1336" s="12"/>
      <c r="E1336" s="12"/>
      <c r="F1336" s="12"/>
      <c r="G1336" s="12"/>
      <c r="H1336" s="12"/>
    </row>
    <row r="1337" customFormat="false" ht="27.75" hidden="false" customHeight="true" outlineLevel="0" collapsed="false">
      <c r="A1337" s="10" t="s">
        <v>251</v>
      </c>
      <c r="B1337" s="10"/>
      <c r="C1337" s="12" t="str">
        <f aca="false">'01 ADMIN_ORDER'!H37</f>
        <v>FTWR WHITE/CORE BLACK/GREY ONE</v>
      </c>
      <c r="D1337" s="12"/>
      <c r="E1337" s="12"/>
      <c r="F1337" s="12"/>
      <c r="G1337" s="12"/>
      <c r="H1337" s="12"/>
    </row>
    <row r="1338" customFormat="false" ht="18" hidden="false" customHeight="true" outlineLevel="0" collapsed="false">
      <c r="A1338" s="10" t="s">
        <v>252</v>
      </c>
      <c r="B1338" s="10"/>
      <c r="C1338" s="12" t="str">
        <f aca="false">'01 ADMIN_ORDER'!B37&amp;" / "&amp;'01 ADMIN_ORDER'!G37</f>
        <v>B-19 / Brazil</v>
      </c>
      <c r="D1338" s="12"/>
      <c r="E1338" s="12"/>
      <c r="F1338" s="12"/>
      <c r="G1338" s="12"/>
      <c r="H1338" s="12"/>
    </row>
    <row r="1339" customFormat="false" ht="18" hidden="false" customHeight="true" outlineLevel="0" collapsed="false">
      <c r="A1339" s="10" t="s">
        <v>253</v>
      </c>
      <c r="B1339" s="10"/>
      <c r="C1339" s="13" t="str">
        <f aca="false">'01 ADMIN_ORDER'!I37&amp;" / "&amp;IF('04 KESIAPAN'!B37="","UOM BELUM DIISI",'04 KESIAPAN'!B37)</f>
        <v>351 / UOM BELUM DIISI</v>
      </c>
      <c r="D1339" s="13"/>
      <c r="E1339" s="13"/>
      <c r="F1339" s="13"/>
      <c r="G1339" s="13"/>
      <c r="H1339" s="13"/>
    </row>
    <row r="1340" customFormat="false" ht="18" hidden="false" customHeight="true" outlineLevel="0" collapsed="false">
      <c r="A1340" s="13" t="str">
        <f aca="false">IF('04 KESIAPAN'!C37="","SISTEM UKURAN BELUM DIISI",'04 KESIAPAN'!C37)&amp;" | Tanda -: "&amp;IF('04 KESIAPAN'!D37="","BELUM DIKONFIRMASI",'04 KESIAPAN'!D37)</f>
        <v>SISTEM UKURAN BELUM DIISI | Tanda -: BELUM DIKONFIRMASI</v>
      </c>
      <c r="B1340" s="13"/>
      <c r="C1340" s="13"/>
      <c r="D1340" s="13"/>
      <c r="E1340" s="13"/>
      <c r="F1340" s="13"/>
      <c r="G1340" s="13"/>
      <c r="H1340" s="13"/>
    </row>
    <row r="1341" customFormat="false" ht="18" hidden="false" customHeight="true" outlineLevel="0" collapsed="false">
      <c r="A1341" s="7" t="s">
        <v>254</v>
      </c>
      <c r="B1341" s="7"/>
      <c r="C1341" s="7"/>
      <c r="D1341" s="7"/>
      <c r="E1341" s="7"/>
      <c r="F1341" s="7"/>
      <c r="G1341" s="7"/>
      <c r="H1341" s="7"/>
    </row>
    <row r="1342" customFormat="false" ht="18" hidden="false" customHeight="true" outlineLevel="0" collapsed="false">
      <c r="A1342" s="14" t="s">
        <v>214</v>
      </c>
      <c r="B1342" s="0" t="n">
        <f aca="false">'02 SIZE_RUN'!D37</f>
        <v>1</v>
      </c>
      <c r="C1342" s="14" t="s">
        <v>215</v>
      </c>
      <c r="D1342" s="0" t="n">
        <f aca="false">'02 SIZE_RUN'!E37</f>
        <v>0</v>
      </c>
      <c r="E1342" s="14" t="s">
        <v>216</v>
      </c>
      <c r="F1342" s="0" t="n">
        <f aca="false">'02 SIZE_RUN'!F37</f>
        <v>2</v>
      </c>
      <c r="G1342" s="14" t="s">
        <v>217</v>
      </c>
      <c r="H1342" s="0" t="n">
        <f aca="false">'02 SIZE_RUN'!G37</f>
        <v>14</v>
      </c>
    </row>
    <row r="1343" customFormat="false" ht="18" hidden="false" customHeight="true" outlineLevel="0" collapsed="false">
      <c r="A1343" s="14" t="s">
        <v>218</v>
      </c>
      <c r="B1343" s="0" t="n">
        <f aca="false">'02 SIZE_RUN'!H37</f>
        <v>0</v>
      </c>
      <c r="C1343" s="14" t="s">
        <v>219</v>
      </c>
      <c r="D1343" s="0" t="n">
        <f aca="false">'02 SIZE_RUN'!I37</f>
        <v>17</v>
      </c>
      <c r="E1343" s="14" t="s">
        <v>220</v>
      </c>
      <c r="F1343" s="0" t="n">
        <f aca="false">'02 SIZE_RUN'!J37</f>
        <v>18</v>
      </c>
      <c r="G1343" s="14" t="s">
        <v>221</v>
      </c>
      <c r="H1343" s="0" t="n">
        <f aca="false">'02 SIZE_RUN'!K37</f>
        <v>45</v>
      </c>
    </row>
    <row r="1344" customFormat="false" ht="18" hidden="false" customHeight="true" outlineLevel="0" collapsed="false">
      <c r="A1344" s="14" t="s">
        <v>222</v>
      </c>
      <c r="B1344" s="0" t="n">
        <f aca="false">'02 SIZE_RUN'!L37</f>
        <v>59</v>
      </c>
      <c r="C1344" s="14" t="s">
        <v>223</v>
      </c>
      <c r="D1344" s="0" t="n">
        <f aca="false">'02 SIZE_RUN'!M37</f>
        <v>0</v>
      </c>
      <c r="E1344" s="14" t="s">
        <v>224</v>
      </c>
      <c r="F1344" s="0" t="n">
        <f aca="false">'02 SIZE_RUN'!N37</f>
        <v>58</v>
      </c>
      <c r="G1344" s="14" t="s">
        <v>225</v>
      </c>
      <c r="H1344" s="0" t="n">
        <f aca="false">'02 SIZE_RUN'!O37</f>
        <v>0</v>
      </c>
    </row>
    <row r="1345" customFormat="false" ht="18" hidden="false" customHeight="true" outlineLevel="0" collapsed="false">
      <c r="A1345" s="14" t="s">
        <v>226</v>
      </c>
      <c r="B1345" s="0" t="n">
        <f aca="false">'02 SIZE_RUN'!P37</f>
        <v>58</v>
      </c>
      <c r="C1345" s="14" t="s">
        <v>227</v>
      </c>
      <c r="D1345" s="0" t="n">
        <f aca="false">'02 SIZE_RUN'!Q37</f>
        <v>50</v>
      </c>
      <c r="E1345" s="14" t="s">
        <v>228</v>
      </c>
      <c r="F1345" s="0" t="n">
        <f aca="false">'02 SIZE_RUN'!R37</f>
        <v>0</v>
      </c>
      <c r="G1345" s="14" t="s">
        <v>229</v>
      </c>
      <c r="H1345" s="0" t="n">
        <f aca="false">'02 SIZE_RUN'!S37</f>
        <v>19</v>
      </c>
    </row>
    <row r="1346" customFormat="false" ht="18" hidden="false" customHeight="true" outlineLevel="0" collapsed="false">
      <c r="A1346" s="14" t="s">
        <v>230</v>
      </c>
      <c r="B1346" s="0" t="n">
        <f aca="false">'02 SIZE_RUN'!T37</f>
        <v>0</v>
      </c>
      <c r="C1346" s="14" t="s">
        <v>231</v>
      </c>
      <c r="D1346" s="0" t="n">
        <f aca="false">'02 SIZE_RUN'!U37</f>
        <v>8</v>
      </c>
      <c r="E1346" s="14" t="s">
        <v>232</v>
      </c>
      <c r="F1346" s="0" t="n">
        <f aca="false">'02 SIZE_RUN'!V37</f>
        <v>2</v>
      </c>
      <c r="G1346" s="14" t="s">
        <v>233</v>
      </c>
      <c r="H1346" s="0" t="n">
        <f aca="false">'02 SIZE_RUN'!W37</f>
        <v>0</v>
      </c>
    </row>
    <row r="1347" customFormat="false" ht="18" hidden="false" customHeight="true" outlineLevel="0" collapsed="false">
      <c r="A1347" s="14" t="s">
        <v>234</v>
      </c>
      <c r="B1347" s="0" t="n">
        <f aca="false">'02 SIZE_RUN'!X37</f>
        <v>0</v>
      </c>
      <c r="C1347" s="14" t="s">
        <v>235</v>
      </c>
      <c r="D1347" s="0" t="n">
        <f aca="false">'02 SIZE_RUN'!Y37</f>
        <v>0</v>
      </c>
      <c r="E1347" s="14" t="s">
        <v>236</v>
      </c>
      <c r="F1347" s="0" t="n">
        <f aca="false">'02 SIZE_RUN'!Z37</f>
        <v>0</v>
      </c>
      <c r="G1347" s="14" t="s">
        <v>237</v>
      </c>
      <c r="H1347" s="0" t="n">
        <f aca="false">'02 SIZE_RUN'!AA37</f>
        <v>0</v>
      </c>
    </row>
    <row r="1348" customFormat="false" ht="18" hidden="false" customHeight="true" outlineLevel="0" collapsed="false">
      <c r="A1348" s="14" t="s">
        <v>238</v>
      </c>
      <c r="B1348" s="0" t="n">
        <f aca="false">'02 SIZE_RUN'!AB37</f>
        <v>0</v>
      </c>
      <c r="C1348" s="14" t="s">
        <v>239</v>
      </c>
      <c r="D1348" s="0" t="n">
        <f aca="false">'02 SIZE_RUN'!AC37</f>
        <v>0</v>
      </c>
      <c r="E1348" s="14" t="s">
        <v>240</v>
      </c>
      <c r="F1348" s="0" t="n">
        <f aca="false">'02 SIZE_RUN'!AD37</f>
        <v>0</v>
      </c>
      <c r="G1348" s="14" t="s">
        <v>241</v>
      </c>
      <c r="H1348" s="0" t="n">
        <f aca="false">'02 SIZE_RUN'!AE37</f>
        <v>0</v>
      </c>
    </row>
    <row r="1349" customFormat="false" ht="18" hidden="false" customHeight="true" outlineLevel="0" collapsed="false">
      <c r="A1349" s="14" t="s">
        <v>242</v>
      </c>
      <c r="B1349" s="0" t="n">
        <f aca="false">'02 SIZE_RUN'!AF37</f>
        <v>0</v>
      </c>
    </row>
    <row r="1350" customFormat="false" ht="18" hidden="false" customHeight="true" outlineLevel="0" collapsed="false">
      <c r="A1350" s="10" t="str">
        <f aca="false">"TOTAL SIZE: "&amp;'02 SIZE_RUN'!AG37&amp;" | SELISIH: "&amp;'02 SIZE_RUN'!AH37</f>
        <v>TOTAL SIZE: 351 | SELISIH: 0</v>
      </c>
      <c r="B1350" s="10"/>
      <c r="C1350" s="10"/>
      <c r="D1350" s="10"/>
      <c r="E1350" s="10"/>
      <c r="F1350" s="10"/>
      <c r="G1350" s="10"/>
      <c r="H1350" s="10"/>
    </row>
    <row r="1351" customFormat="false" ht="18" hidden="false" customHeight="true" outlineLevel="0" collapsed="false">
      <c r="A1351" s="10" t="s">
        <v>255</v>
      </c>
      <c r="B1351" s="10"/>
      <c r="C1351" s="10"/>
      <c r="D1351" s="13" t="str">
        <f aca="false">IF('01 ADMIN_ORDER'!P37="","BELUM DITETAPKAN",TEXT('01 ADMIN_ORDER'!P37,"dd mmm yyyy"))</f>
        <v>BELUM DITETAPKAN</v>
      </c>
      <c r="E1351" s="13"/>
      <c r="F1351" s="13"/>
      <c r="G1351" s="13"/>
      <c r="H1351" s="13"/>
    </row>
    <row r="1352" customFormat="false" ht="18" hidden="false" customHeight="true" outlineLevel="0" collapsed="false">
      <c r="A1352" s="10" t="s">
        <v>256</v>
      </c>
      <c r="B1352" s="10"/>
      <c r="C1352" s="10"/>
      <c r="D1352" s="13" t="str">
        <f aca="false">IF('01 ADMIN_ORDER'!Q37="","BELUM DITETAPKAN",TEXT('01 ADMIN_ORDER'!Q37,"dd mmm yyyy"))</f>
        <v>BELUM DITETAPKAN</v>
      </c>
      <c r="E1352" s="13"/>
      <c r="F1352" s="13"/>
      <c r="G1352" s="13"/>
      <c r="H1352" s="13"/>
    </row>
    <row r="1353" customFormat="false" ht="25.5" hidden="false" customHeight="true" outlineLevel="0" collapsed="false">
      <c r="A1353" s="12" t="str">
        <f aca="false">"REFERENSI ASSEMBLY (bukan target upper): "&amp;TEXT('01 ADMIN_ORDER'!M37,"dd mmm yyyy")&amp;" - "&amp;TEXT('01 ADMIN_ORDER'!N37,"dd mmm yyyy")</f>
        <v>REFERENSI ASSEMBLY (bukan target upper): 30 Sep 2026 - 30 Sep 2026</v>
      </c>
      <c r="B1353" s="12"/>
      <c r="C1353" s="12"/>
      <c r="D1353" s="12"/>
      <c r="E1353" s="12"/>
      <c r="F1353" s="12"/>
      <c r="G1353" s="12"/>
      <c r="H1353" s="12"/>
    </row>
    <row r="1354" customFormat="false" ht="18" hidden="false" customHeight="true" outlineLevel="0" collapsed="false">
      <c r="A1354" s="10" t="s">
        <v>257</v>
      </c>
      <c r="B1354" s="10"/>
      <c r="C1354" s="10"/>
      <c r="D1354" s="13" t="str">
        <f aca="false">IF('04 KESIAPAN'!G37="","BELUM DIISI",'04 KESIAPAN'!G37)</f>
        <v>BELUM DIISI</v>
      </c>
      <c r="E1354" s="13"/>
      <c r="F1354" s="13"/>
      <c r="G1354" s="13"/>
      <c r="H1354" s="13"/>
    </row>
    <row r="1355" customFormat="false" ht="18" hidden="false" customHeight="true" outlineLevel="0" collapsed="false">
      <c r="A1355" s="10" t="s">
        <v>258</v>
      </c>
      <c r="B1355" s="10"/>
      <c r="C1355" s="10"/>
      <c r="D1355" s="13" t="str">
        <f aca="false">IF('04 KESIAPAN'!H37="","BELUM DIISI",'04 KESIAPAN'!H37)</f>
        <v>BELUM DIISI</v>
      </c>
      <c r="E1355" s="13"/>
      <c r="F1355" s="13"/>
      <c r="G1355" s="13"/>
      <c r="H1355" s="13"/>
    </row>
    <row r="1356" customFormat="false" ht="18" hidden="false" customHeight="true" outlineLevel="0" collapsed="false">
      <c r="A1356" s="10" t="s">
        <v>259</v>
      </c>
      <c r="B1356" s="10"/>
      <c r="C1356" s="10"/>
      <c r="D1356" s="13" t="str">
        <f aca="false">IF('04 KESIAPAN'!I37="","BELUM DIISI",'04 KESIAPAN'!I37)</f>
        <v>BELUM DIISI</v>
      </c>
      <c r="E1356" s="13"/>
      <c r="F1356" s="13"/>
      <c r="G1356" s="13"/>
      <c r="H1356" s="13"/>
    </row>
    <row r="1357" customFormat="false" ht="18" hidden="false" customHeight="true" outlineLevel="0" collapsed="false">
      <c r="A1357" s="10" t="s">
        <v>260</v>
      </c>
      <c r="B1357" s="10"/>
      <c r="C1357" s="10"/>
      <c r="D1357" s="13" t="str">
        <f aca="false">IF('04 KESIAPAN'!K37="","BELUM DIISI",'04 KESIAPAN'!K37)</f>
        <v>BELUM DIISI</v>
      </c>
      <c r="E1357" s="13"/>
      <c r="F1357" s="13"/>
      <c r="G1357" s="13"/>
      <c r="H1357" s="13"/>
    </row>
    <row r="1358" customFormat="false" ht="18" hidden="false" customHeight="true" outlineLevel="0" collapsed="false">
      <c r="A1358" s="10" t="s">
        <v>261</v>
      </c>
      <c r="B1358" s="10"/>
      <c r="C1358" s="10"/>
      <c r="D1358" s="13" t="str">
        <f aca="false">IF('04 KESIAPAN'!L37="","BELUM DIISI",'04 KESIAPAN'!L37)</f>
        <v>BELUM DIISI</v>
      </c>
      <c r="E1358" s="13"/>
      <c r="F1358" s="13"/>
      <c r="G1358" s="13"/>
      <c r="H1358" s="13"/>
    </row>
    <row r="1359" customFormat="false" ht="18" hidden="false" customHeight="true" outlineLevel="0" collapsed="false">
      <c r="A1359" s="10" t="s">
        <v>262</v>
      </c>
      <c r="B1359" s="10"/>
      <c r="C1359" s="10"/>
      <c r="D1359" s="13" t="str">
        <f aca="false">IF('04 KESIAPAN'!N37="","BELUM DIISI",'04 KESIAPAN'!N37)</f>
        <v>BELUM DIISI</v>
      </c>
      <c r="E1359" s="13"/>
      <c r="F1359" s="13"/>
      <c r="G1359" s="13"/>
      <c r="H1359" s="13"/>
    </row>
    <row r="1360" customFormat="false" ht="18" hidden="false" customHeight="true" outlineLevel="0" collapsed="false">
      <c r="A1360" s="10" t="s">
        <v>263</v>
      </c>
      <c r="B1360" s="10"/>
      <c r="C1360" s="10"/>
      <c r="D1360" s="13" t="str">
        <f aca="false">IF('04 KESIAPAN'!P37="","BELUM DIISI",'04 KESIAPAN'!P37)</f>
        <v>BELUM DIISI</v>
      </c>
      <c r="E1360" s="13"/>
      <c r="F1360" s="13"/>
      <c r="G1360" s="13"/>
      <c r="H1360" s="13"/>
    </row>
    <row r="1361" customFormat="false" ht="18" hidden="false" customHeight="true" outlineLevel="0" collapsed="false">
      <c r="A1361" s="7" t="s">
        <v>264</v>
      </c>
      <c r="B1361" s="7"/>
      <c r="C1361" s="7"/>
      <c r="D1361" s="7"/>
      <c r="E1361" s="7"/>
      <c r="F1361" s="7"/>
      <c r="G1361" s="7"/>
      <c r="H1361" s="7"/>
    </row>
    <row r="1362" customFormat="false" ht="18" hidden="false" customHeight="true" outlineLevel="0" collapsed="false">
      <c r="A1362" s="13"/>
      <c r="B1362" s="13"/>
      <c r="C1362" s="13"/>
      <c r="D1362" s="13"/>
      <c r="E1362" s="13"/>
      <c r="F1362" s="13"/>
      <c r="G1362" s="13"/>
      <c r="H1362" s="13"/>
    </row>
    <row r="1363" customFormat="false" ht="18" hidden="false" customHeight="true" outlineLevel="0" collapsed="false">
      <c r="A1363" s="13"/>
      <c r="B1363" s="13"/>
      <c r="C1363" s="13"/>
      <c r="D1363" s="13"/>
      <c r="E1363" s="13"/>
      <c r="F1363" s="13"/>
      <c r="G1363" s="13"/>
      <c r="H1363" s="13"/>
    </row>
    <row r="1364" customFormat="false" ht="18" hidden="false" customHeight="true" outlineLevel="0" collapsed="false">
      <c r="A1364" s="13"/>
      <c r="B1364" s="13"/>
      <c r="C1364" s="13"/>
      <c r="D1364" s="13"/>
      <c r="E1364" s="13"/>
      <c r="F1364" s="13"/>
      <c r="G1364" s="13"/>
      <c r="H1364" s="13"/>
    </row>
    <row r="1365" customFormat="false" ht="18" hidden="false" customHeight="true" outlineLevel="0" collapsed="false">
      <c r="A1365" s="12" t="s">
        <v>265</v>
      </c>
      <c r="B1365" s="12"/>
      <c r="C1365" s="12"/>
      <c r="D1365" s="12"/>
      <c r="E1365" s="12" t="s">
        <v>266</v>
      </c>
      <c r="F1365" s="12"/>
      <c r="G1365" s="12"/>
      <c r="H1365" s="12"/>
    </row>
    <row r="1366" customFormat="false" ht="18" hidden="false" customHeight="true" outlineLevel="0" collapsed="false">
      <c r="A1366" s="12" t="s">
        <v>302</v>
      </c>
      <c r="B1366" s="12"/>
      <c r="C1366" s="12"/>
      <c r="D1366" s="12"/>
      <c r="E1366" s="12"/>
      <c r="F1366" s="12"/>
      <c r="G1366" s="12"/>
      <c r="H1366" s="12"/>
    </row>
    <row r="1367" customFormat="false" ht="18" hidden="false" customHeight="true" outlineLevel="0" collapsed="false"/>
    <row r="1368" customFormat="false" ht="18" hidden="false" customHeight="true" outlineLevel="0" collapsed="false"/>
    <row r="1369" customFormat="false" ht="25.5" hidden="false" customHeight="true" outlineLevel="0" collapsed="false">
      <c r="A1369" s="7" t="s">
        <v>246</v>
      </c>
      <c r="B1369" s="7"/>
      <c r="C1369" s="7"/>
      <c r="D1369" s="7"/>
      <c r="E1369" s="7"/>
      <c r="F1369" s="7"/>
      <c r="G1369" s="7"/>
      <c r="H1369" s="7"/>
    </row>
    <row r="1370" customFormat="false" ht="18" hidden="false" customHeight="true" outlineLevel="0" collapsed="false">
      <c r="A1370" s="8" t="str">
        <f aca="false">'01 ADMIN_ORDER'!R38</f>
        <v>DRAFT - PERLU VERIFIKASI</v>
      </c>
      <c r="B1370" s="8"/>
      <c r="C1370" s="8"/>
      <c r="D1370" s="8"/>
      <c r="E1370" s="8"/>
      <c r="F1370" s="8"/>
      <c r="G1370" s="8"/>
      <c r="H1370" s="8"/>
    </row>
    <row r="1371" customFormat="false" ht="18" hidden="false" customHeight="true" outlineLevel="0" collapsed="false">
      <c r="A1371" s="9" t="s">
        <v>247</v>
      </c>
      <c r="B1371" s="9"/>
      <c r="C1371" s="9"/>
      <c r="D1371" s="9"/>
      <c r="E1371" s="9"/>
      <c r="F1371" s="9"/>
      <c r="G1371" s="9"/>
      <c r="H1371" s="9"/>
    </row>
    <row r="1372" customFormat="false" ht="18" hidden="false" customHeight="true" outlineLevel="0" collapsed="false">
      <c r="A1372" s="10" t="s">
        <v>248</v>
      </c>
      <c r="B1372" s="10"/>
      <c r="C1372" s="11" t="str">
        <f aca="false">'01 ADMIN_ORDER'!A38</f>
        <v>173/10/37 (59)</v>
      </c>
      <c r="D1372" s="11"/>
      <c r="E1372" s="11"/>
      <c r="F1372" s="11"/>
      <c r="G1372" s="11"/>
      <c r="H1372" s="11"/>
    </row>
    <row r="1373" customFormat="false" ht="18" hidden="false" customHeight="true" outlineLevel="0" collapsed="false">
      <c r="A1373" s="10" t="s">
        <v>249</v>
      </c>
      <c r="B1373" s="10"/>
      <c r="C1373" s="12" t="str">
        <f aca="false">'01 ADMIN_ORDER'!C38&amp;" / "&amp;'01 ADMIN_ORDER'!D38</f>
        <v>FRONTCOURT LOW / LA6615</v>
      </c>
      <c r="D1373" s="12"/>
      <c r="E1373" s="12"/>
      <c r="F1373" s="12"/>
      <c r="G1373" s="12"/>
      <c r="H1373" s="12"/>
    </row>
    <row r="1374" customFormat="false" ht="18" hidden="false" customHeight="true" outlineLevel="0" collapsed="false">
      <c r="A1374" s="10" t="s">
        <v>250</v>
      </c>
      <c r="B1374" s="10"/>
      <c r="C1374" s="12" t="str">
        <f aca="false">'01 ADMIN_ORDER'!E38</f>
        <v>903410761</v>
      </c>
      <c r="D1374" s="12"/>
      <c r="E1374" s="12"/>
      <c r="F1374" s="12"/>
      <c r="G1374" s="12"/>
      <c r="H1374" s="12"/>
    </row>
    <row r="1375" customFormat="false" ht="27.75" hidden="false" customHeight="true" outlineLevel="0" collapsed="false">
      <c r="A1375" s="10" t="s">
        <v>251</v>
      </c>
      <c r="B1375" s="10"/>
      <c r="C1375" s="12" t="str">
        <f aca="false">'01 ADMIN_ORDER'!H38</f>
        <v>FTWR WHITE/CORE BLACK/GREY ONE</v>
      </c>
      <c r="D1375" s="12"/>
      <c r="E1375" s="12"/>
      <c r="F1375" s="12"/>
      <c r="G1375" s="12"/>
      <c r="H1375" s="12"/>
    </row>
    <row r="1376" customFormat="false" ht="18" hidden="false" customHeight="true" outlineLevel="0" collapsed="false">
      <c r="A1376" s="10" t="s">
        <v>252</v>
      </c>
      <c r="B1376" s="10"/>
      <c r="C1376" s="12" t="str">
        <f aca="false">'01 ADMIN_ORDER'!B38&amp;" / "&amp;'01 ADMIN_ORDER'!G38</f>
        <v>B-19 / Chile</v>
      </c>
      <c r="D1376" s="12"/>
      <c r="E1376" s="12"/>
      <c r="F1376" s="12"/>
      <c r="G1376" s="12"/>
      <c r="H1376" s="12"/>
    </row>
    <row r="1377" customFormat="false" ht="18" hidden="false" customHeight="true" outlineLevel="0" collapsed="false">
      <c r="A1377" s="10" t="s">
        <v>253</v>
      </c>
      <c r="B1377" s="10"/>
      <c r="C1377" s="13" t="str">
        <f aca="false">'01 ADMIN_ORDER'!I38&amp;" / "&amp;IF('04 KESIAPAN'!B38="","UOM BELUM DIISI",'04 KESIAPAN'!B38)</f>
        <v>525 / UOM BELUM DIISI</v>
      </c>
      <c r="D1377" s="13"/>
      <c r="E1377" s="13"/>
      <c r="F1377" s="13"/>
      <c r="G1377" s="13"/>
      <c r="H1377" s="13"/>
    </row>
    <row r="1378" customFormat="false" ht="18" hidden="false" customHeight="true" outlineLevel="0" collapsed="false">
      <c r="A1378" s="13" t="str">
        <f aca="false">IF('04 KESIAPAN'!C38="","SISTEM UKURAN BELUM DIISI",'04 KESIAPAN'!C38)&amp;" | Tanda -: "&amp;IF('04 KESIAPAN'!D38="","BELUM DIKONFIRMASI",'04 KESIAPAN'!D38)</f>
        <v>SISTEM UKURAN BELUM DIISI | Tanda -: BELUM DIKONFIRMASI</v>
      </c>
      <c r="B1378" s="13"/>
      <c r="C1378" s="13"/>
      <c r="D1378" s="13"/>
      <c r="E1378" s="13"/>
      <c r="F1378" s="13"/>
      <c r="G1378" s="13"/>
      <c r="H1378" s="13"/>
    </row>
    <row r="1379" customFormat="false" ht="18" hidden="false" customHeight="true" outlineLevel="0" collapsed="false">
      <c r="A1379" s="7" t="s">
        <v>254</v>
      </c>
      <c r="B1379" s="7"/>
      <c r="C1379" s="7"/>
      <c r="D1379" s="7"/>
      <c r="E1379" s="7"/>
      <c r="F1379" s="7"/>
      <c r="G1379" s="7"/>
      <c r="H1379" s="7"/>
    </row>
    <row r="1380" customFormat="false" ht="18" hidden="false" customHeight="true" outlineLevel="0" collapsed="false">
      <c r="A1380" s="14" t="s">
        <v>214</v>
      </c>
      <c r="B1380" s="0" t="n">
        <f aca="false">'02 SIZE_RUN'!D38</f>
        <v>0</v>
      </c>
      <c r="C1380" s="14" t="s">
        <v>215</v>
      </c>
      <c r="D1380" s="0" t="n">
        <f aca="false">'02 SIZE_RUN'!E38</f>
        <v>0</v>
      </c>
      <c r="E1380" s="14" t="s">
        <v>216</v>
      </c>
      <c r="F1380" s="0" t="n">
        <f aca="false">'02 SIZE_RUN'!F38</f>
        <v>0</v>
      </c>
      <c r="G1380" s="14" t="s">
        <v>217</v>
      </c>
      <c r="H1380" s="0" t="n">
        <f aca="false">'02 SIZE_RUN'!G38</f>
        <v>0</v>
      </c>
    </row>
    <row r="1381" customFormat="false" ht="18" hidden="false" customHeight="true" outlineLevel="0" collapsed="false">
      <c r="A1381" s="14" t="s">
        <v>218</v>
      </c>
      <c r="B1381" s="0" t="n">
        <f aca="false">'02 SIZE_RUN'!H38</f>
        <v>0</v>
      </c>
      <c r="C1381" s="14" t="s">
        <v>219</v>
      </c>
      <c r="D1381" s="0" t="n">
        <f aca="false">'02 SIZE_RUN'!I38</f>
        <v>0</v>
      </c>
      <c r="E1381" s="14" t="s">
        <v>220</v>
      </c>
      <c r="F1381" s="0" t="n">
        <f aca="false">'02 SIZE_RUN'!J38</f>
        <v>1</v>
      </c>
      <c r="G1381" s="14" t="s">
        <v>221</v>
      </c>
      <c r="H1381" s="0" t="n">
        <f aca="false">'02 SIZE_RUN'!K38</f>
        <v>36</v>
      </c>
    </row>
    <row r="1382" customFormat="false" ht="18" hidden="false" customHeight="true" outlineLevel="0" collapsed="false">
      <c r="A1382" s="14" t="s">
        <v>222</v>
      </c>
      <c r="B1382" s="0" t="n">
        <f aca="false">'02 SIZE_RUN'!L38</f>
        <v>2</v>
      </c>
      <c r="C1382" s="14" t="s">
        <v>223</v>
      </c>
      <c r="D1382" s="0" t="n">
        <f aca="false">'02 SIZE_RUN'!M38</f>
        <v>104</v>
      </c>
      <c r="E1382" s="14" t="s">
        <v>224</v>
      </c>
      <c r="F1382" s="0" t="n">
        <f aca="false">'02 SIZE_RUN'!N38</f>
        <v>36</v>
      </c>
      <c r="G1382" s="14" t="s">
        <v>225</v>
      </c>
      <c r="H1382" s="0" t="n">
        <f aca="false">'02 SIZE_RUN'!O38</f>
        <v>104</v>
      </c>
    </row>
    <row r="1383" customFormat="false" ht="18" hidden="false" customHeight="true" outlineLevel="0" collapsed="false">
      <c r="A1383" s="14" t="s">
        <v>226</v>
      </c>
      <c r="B1383" s="0" t="n">
        <f aca="false">'02 SIZE_RUN'!P38</f>
        <v>36</v>
      </c>
      <c r="C1383" s="14" t="s">
        <v>227</v>
      </c>
      <c r="D1383" s="0" t="n">
        <f aca="false">'02 SIZE_RUN'!Q38</f>
        <v>103</v>
      </c>
      <c r="E1383" s="14" t="s">
        <v>228</v>
      </c>
      <c r="F1383" s="0" t="n">
        <f aca="false">'02 SIZE_RUN'!R38</f>
        <v>1</v>
      </c>
      <c r="G1383" s="14" t="s">
        <v>229</v>
      </c>
      <c r="H1383" s="0" t="n">
        <f aca="false">'02 SIZE_RUN'!S38</f>
        <v>68</v>
      </c>
    </row>
    <row r="1384" customFormat="false" ht="18" hidden="false" customHeight="true" outlineLevel="0" collapsed="false">
      <c r="A1384" s="14" t="s">
        <v>230</v>
      </c>
      <c r="B1384" s="0" t="n">
        <f aca="false">'02 SIZE_RUN'!T38</f>
        <v>34</v>
      </c>
      <c r="C1384" s="14" t="s">
        <v>231</v>
      </c>
      <c r="D1384" s="0" t="n">
        <f aca="false">'02 SIZE_RUN'!U38</f>
        <v>0</v>
      </c>
      <c r="E1384" s="14" t="s">
        <v>232</v>
      </c>
      <c r="F1384" s="0" t="n">
        <f aca="false">'02 SIZE_RUN'!V38</f>
        <v>0</v>
      </c>
      <c r="G1384" s="14" t="s">
        <v>233</v>
      </c>
      <c r="H1384" s="0" t="n">
        <f aca="false">'02 SIZE_RUN'!W38</f>
        <v>0</v>
      </c>
    </row>
    <row r="1385" customFormat="false" ht="18" hidden="false" customHeight="true" outlineLevel="0" collapsed="false">
      <c r="A1385" s="14" t="s">
        <v>234</v>
      </c>
      <c r="B1385" s="0" t="n">
        <f aca="false">'02 SIZE_RUN'!X38</f>
        <v>0</v>
      </c>
      <c r="C1385" s="14" t="s">
        <v>235</v>
      </c>
      <c r="D1385" s="0" t="n">
        <f aca="false">'02 SIZE_RUN'!Y38</f>
        <v>0</v>
      </c>
      <c r="E1385" s="14" t="s">
        <v>236</v>
      </c>
      <c r="F1385" s="0" t="n">
        <f aca="false">'02 SIZE_RUN'!Z38</f>
        <v>0</v>
      </c>
      <c r="G1385" s="14" t="s">
        <v>237</v>
      </c>
      <c r="H1385" s="0" t="n">
        <f aca="false">'02 SIZE_RUN'!AA38</f>
        <v>0</v>
      </c>
    </row>
    <row r="1386" customFormat="false" ht="18" hidden="false" customHeight="true" outlineLevel="0" collapsed="false">
      <c r="A1386" s="14" t="s">
        <v>238</v>
      </c>
      <c r="B1386" s="0" t="n">
        <f aca="false">'02 SIZE_RUN'!AB38</f>
        <v>0</v>
      </c>
      <c r="C1386" s="14" t="s">
        <v>239</v>
      </c>
      <c r="D1386" s="0" t="n">
        <f aca="false">'02 SIZE_RUN'!AC38</f>
        <v>0</v>
      </c>
      <c r="E1386" s="14" t="s">
        <v>240</v>
      </c>
      <c r="F1386" s="0" t="n">
        <f aca="false">'02 SIZE_RUN'!AD38</f>
        <v>0</v>
      </c>
      <c r="G1386" s="14" t="s">
        <v>241</v>
      </c>
      <c r="H1386" s="0" t="n">
        <f aca="false">'02 SIZE_RUN'!AE38</f>
        <v>0</v>
      </c>
    </row>
    <row r="1387" customFormat="false" ht="18" hidden="false" customHeight="true" outlineLevel="0" collapsed="false">
      <c r="A1387" s="14" t="s">
        <v>242</v>
      </c>
      <c r="B1387" s="0" t="n">
        <f aca="false">'02 SIZE_RUN'!AF38</f>
        <v>0</v>
      </c>
    </row>
    <row r="1388" customFormat="false" ht="18" hidden="false" customHeight="true" outlineLevel="0" collapsed="false">
      <c r="A1388" s="10" t="str">
        <f aca="false">"TOTAL SIZE: "&amp;'02 SIZE_RUN'!AG38&amp;" | SELISIH: "&amp;'02 SIZE_RUN'!AH38</f>
        <v>TOTAL SIZE: 525 | SELISIH: 0</v>
      </c>
      <c r="B1388" s="10"/>
      <c r="C1388" s="10"/>
      <c r="D1388" s="10"/>
      <c r="E1388" s="10"/>
      <c r="F1388" s="10"/>
      <c r="G1388" s="10"/>
      <c r="H1388" s="10"/>
    </row>
    <row r="1389" customFormat="false" ht="18" hidden="false" customHeight="true" outlineLevel="0" collapsed="false">
      <c r="A1389" s="10" t="s">
        <v>255</v>
      </c>
      <c r="B1389" s="10"/>
      <c r="C1389" s="10"/>
      <c r="D1389" s="13" t="str">
        <f aca="false">IF('01 ADMIN_ORDER'!P38="","BELUM DITETAPKAN",TEXT('01 ADMIN_ORDER'!P38,"dd mmm yyyy"))</f>
        <v>BELUM DITETAPKAN</v>
      </c>
      <c r="E1389" s="13"/>
      <c r="F1389" s="13"/>
      <c r="G1389" s="13"/>
      <c r="H1389" s="13"/>
    </row>
    <row r="1390" customFormat="false" ht="18" hidden="false" customHeight="true" outlineLevel="0" collapsed="false">
      <c r="A1390" s="10" t="s">
        <v>256</v>
      </c>
      <c r="B1390" s="10"/>
      <c r="C1390" s="10"/>
      <c r="D1390" s="13" t="str">
        <f aca="false">IF('01 ADMIN_ORDER'!Q38="","BELUM DITETAPKAN",TEXT('01 ADMIN_ORDER'!Q38,"dd mmm yyyy"))</f>
        <v>BELUM DITETAPKAN</v>
      </c>
      <c r="E1390" s="13"/>
      <c r="F1390" s="13"/>
      <c r="G1390" s="13"/>
      <c r="H1390" s="13"/>
    </row>
    <row r="1391" customFormat="false" ht="25.5" hidden="false" customHeight="true" outlineLevel="0" collapsed="false">
      <c r="A1391" s="12" t="str">
        <f aca="false">"REFERENSI ASSEMBLY (bukan target upper): "&amp;TEXT('01 ADMIN_ORDER'!M38,"dd mmm yyyy")&amp;" - "&amp;TEXT('01 ADMIN_ORDER'!N38,"dd mmm yyyy")</f>
        <v>REFERENSI ASSEMBLY (bukan target upper): 30 Sep 2026 - 30 Sep 2026</v>
      </c>
      <c r="B1391" s="12"/>
      <c r="C1391" s="12"/>
      <c r="D1391" s="12"/>
      <c r="E1391" s="12"/>
      <c r="F1391" s="12"/>
      <c r="G1391" s="12"/>
      <c r="H1391" s="12"/>
    </row>
    <row r="1392" customFormat="false" ht="18" hidden="false" customHeight="true" outlineLevel="0" collapsed="false">
      <c r="A1392" s="10" t="s">
        <v>257</v>
      </c>
      <c r="B1392" s="10"/>
      <c r="C1392" s="10"/>
      <c r="D1392" s="13" t="str">
        <f aca="false">IF('04 KESIAPAN'!G38="","BELUM DIISI",'04 KESIAPAN'!G38)</f>
        <v>BELUM DIISI</v>
      </c>
      <c r="E1392" s="13"/>
      <c r="F1392" s="13"/>
      <c r="G1392" s="13"/>
      <c r="H1392" s="13"/>
    </row>
    <row r="1393" customFormat="false" ht="18" hidden="false" customHeight="true" outlineLevel="0" collapsed="false">
      <c r="A1393" s="10" t="s">
        <v>258</v>
      </c>
      <c r="B1393" s="10"/>
      <c r="C1393" s="10"/>
      <c r="D1393" s="13" t="str">
        <f aca="false">IF('04 KESIAPAN'!H38="","BELUM DIISI",'04 KESIAPAN'!H38)</f>
        <v>BELUM DIISI</v>
      </c>
      <c r="E1393" s="13"/>
      <c r="F1393" s="13"/>
      <c r="G1393" s="13"/>
      <c r="H1393" s="13"/>
    </row>
    <row r="1394" customFormat="false" ht="18" hidden="false" customHeight="true" outlineLevel="0" collapsed="false">
      <c r="A1394" s="10" t="s">
        <v>259</v>
      </c>
      <c r="B1394" s="10"/>
      <c r="C1394" s="10"/>
      <c r="D1394" s="13" t="str">
        <f aca="false">IF('04 KESIAPAN'!I38="","BELUM DIISI",'04 KESIAPAN'!I38)</f>
        <v>BELUM DIISI</v>
      </c>
      <c r="E1394" s="13"/>
      <c r="F1394" s="13"/>
      <c r="G1394" s="13"/>
      <c r="H1394" s="13"/>
    </row>
    <row r="1395" customFormat="false" ht="18" hidden="false" customHeight="true" outlineLevel="0" collapsed="false">
      <c r="A1395" s="10" t="s">
        <v>260</v>
      </c>
      <c r="B1395" s="10"/>
      <c r="C1395" s="10"/>
      <c r="D1395" s="13" t="str">
        <f aca="false">IF('04 KESIAPAN'!K38="","BELUM DIISI",'04 KESIAPAN'!K38)</f>
        <v>BELUM DIISI</v>
      </c>
      <c r="E1395" s="13"/>
      <c r="F1395" s="13"/>
      <c r="G1395" s="13"/>
      <c r="H1395" s="13"/>
    </row>
    <row r="1396" customFormat="false" ht="18" hidden="false" customHeight="true" outlineLevel="0" collapsed="false">
      <c r="A1396" s="10" t="s">
        <v>261</v>
      </c>
      <c r="B1396" s="10"/>
      <c r="C1396" s="10"/>
      <c r="D1396" s="13" t="str">
        <f aca="false">IF('04 KESIAPAN'!L38="","BELUM DIISI",'04 KESIAPAN'!L38)</f>
        <v>BELUM DIISI</v>
      </c>
      <c r="E1396" s="13"/>
      <c r="F1396" s="13"/>
      <c r="G1396" s="13"/>
      <c r="H1396" s="13"/>
    </row>
    <row r="1397" customFormat="false" ht="18" hidden="false" customHeight="true" outlineLevel="0" collapsed="false">
      <c r="A1397" s="10" t="s">
        <v>262</v>
      </c>
      <c r="B1397" s="10"/>
      <c r="C1397" s="10"/>
      <c r="D1397" s="13" t="str">
        <f aca="false">IF('04 KESIAPAN'!N38="","BELUM DIISI",'04 KESIAPAN'!N38)</f>
        <v>BELUM DIISI</v>
      </c>
      <c r="E1397" s="13"/>
      <c r="F1397" s="13"/>
      <c r="G1397" s="13"/>
      <c r="H1397" s="13"/>
    </row>
    <row r="1398" customFormat="false" ht="18" hidden="false" customHeight="true" outlineLevel="0" collapsed="false">
      <c r="A1398" s="10" t="s">
        <v>263</v>
      </c>
      <c r="B1398" s="10"/>
      <c r="C1398" s="10"/>
      <c r="D1398" s="13" t="str">
        <f aca="false">IF('04 KESIAPAN'!P38="","BELUM DIISI",'04 KESIAPAN'!P38)</f>
        <v>BELUM DIISI</v>
      </c>
      <c r="E1398" s="13"/>
      <c r="F1398" s="13"/>
      <c r="G1398" s="13"/>
      <c r="H1398" s="13"/>
    </row>
    <row r="1399" customFormat="false" ht="18" hidden="false" customHeight="true" outlineLevel="0" collapsed="false">
      <c r="A1399" s="7" t="s">
        <v>264</v>
      </c>
      <c r="B1399" s="7"/>
      <c r="C1399" s="7"/>
      <c r="D1399" s="7"/>
      <c r="E1399" s="7"/>
      <c r="F1399" s="7"/>
      <c r="G1399" s="7"/>
      <c r="H1399" s="7"/>
    </row>
    <row r="1400" customFormat="false" ht="18" hidden="false" customHeight="true" outlineLevel="0" collapsed="false">
      <c r="A1400" s="13"/>
      <c r="B1400" s="13"/>
      <c r="C1400" s="13"/>
      <c r="D1400" s="13"/>
      <c r="E1400" s="13"/>
      <c r="F1400" s="13"/>
      <c r="G1400" s="13"/>
      <c r="H1400" s="13"/>
    </row>
    <row r="1401" customFormat="false" ht="18" hidden="false" customHeight="true" outlineLevel="0" collapsed="false">
      <c r="A1401" s="13"/>
      <c r="B1401" s="13"/>
      <c r="C1401" s="13"/>
      <c r="D1401" s="13"/>
      <c r="E1401" s="13"/>
      <c r="F1401" s="13"/>
      <c r="G1401" s="13"/>
      <c r="H1401" s="13"/>
    </row>
    <row r="1402" customFormat="false" ht="18" hidden="false" customHeight="true" outlineLevel="0" collapsed="false">
      <c r="A1402" s="13"/>
      <c r="B1402" s="13"/>
      <c r="C1402" s="13"/>
      <c r="D1402" s="13"/>
      <c r="E1402" s="13"/>
      <c r="F1402" s="13"/>
      <c r="G1402" s="13"/>
      <c r="H1402" s="13"/>
    </row>
    <row r="1403" customFormat="false" ht="18" hidden="false" customHeight="true" outlineLevel="0" collapsed="false">
      <c r="A1403" s="12" t="s">
        <v>265</v>
      </c>
      <c r="B1403" s="12"/>
      <c r="C1403" s="12"/>
      <c r="D1403" s="12"/>
      <c r="E1403" s="12" t="s">
        <v>266</v>
      </c>
      <c r="F1403" s="12"/>
      <c r="G1403" s="12"/>
      <c r="H1403" s="12"/>
    </row>
    <row r="1404" customFormat="false" ht="18" hidden="false" customHeight="true" outlineLevel="0" collapsed="false">
      <c r="A1404" s="12" t="s">
        <v>303</v>
      </c>
      <c r="B1404" s="12"/>
      <c r="C1404" s="12"/>
      <c r="D1404" s="12"/>
      <c r="E1404" s="12"/>
      <c r="F1404" s="12"/>
      <c r="G1404" s="12"/>
      <c r="H1404" s="12"/>
    </row>
    <row r="1405" customFormat="false" ht="18" hidden="false" customHeight="true" outlineLevel="0" collapsed="false"/>
    <row r="1406" customFormat="false" ht="18" hidden="false" customHeight="true" outlineLevel="0" collapsed="false"/>
    <row r="1407" customFormat="false" ht="25.5" hidden="false" customHeight="true" outlineLevel="0" collapsed="false">
      <c r="A1407" s="7" t="s">
        <v>246</v>
      </c>
      <c r="B1407" s="7"/>
      <c r="C1407" s="7"/>
      <c r="D1407" s="7"/>
      <c r="E1407" s="7"/>
      <c r="F1407" s="7"/>
      <c r="G1407" s="7"/>
      <c r="H1407" s="7"/>
    </row>
    <row r="1408" customFormat="false" ht="18" hidden="false" customHeight="true" outlineLevel="0" collapsed="false">
      <c r="A1408" s="8" t="str">
        <f aca="false">'01 ADMIN_ORDER'!R39</f>
        <v>DRAFT - PERLU VERIFIKASI</v>
      </c>
      <c r="B1408" s="8"/>
      <c r="C1408" s="8"/>
      <c r="D1408" s="8"/>
      <c r="E1408" s="8"/>
      <c r="F1408" s="8"/>
      <c r="G1408" s="8"/>
      <c r="H1408" s="8"/>
    </row>
    <row r="1409" customFormat="false" ht="18" hidden="false" customHeight="true" outlineLevel="0" collapsed="false">
      <c r="A1409" s="9" t="s">
        <v>247</v>
      </c>
      <c r="B1409" s="9"/>
      <c r="C1409" s="9"/>
      <c r="D1409" s="9"/>
      <c r="E1409" s="9"/>
      <c r="F1409" s="9"/>
      <c r="G1409" s="9"/>
      <c r="H1409" s="9"/>
    </row>
    <row r="1410" customFormat="false" ht="18" hidden="false" customHeight="true" outlineLevel="0" collapsed="false">
      <c r="A1410" s="10" t="s">
        <v>248</v>
      </c>
      <c r="B1410" s="10"/>
      <c r="C1410" s="11" t="str">
        <f aca="false">'01 ADMIN_ORDER'!A39</f>
        <v>174/10/38 (59)</v>
      </c>
      <c r="D1410" s="11"/>
      <c r="E1410" s="11"/>
      <c r="F1410" s="11"/>
      <c r="G1410" s="11"/>
      <c r="H1410" s="11"/>
    </row>
    <row r="1411" customFormat="false" ht="18" hidden="false" customHeight="true" outlineLevel="0" collapsed="false">
      <c r="A1411" s="10" t="s">
        <v>249</v>
      </c>
      <c r="B1411" s="10"/>
      <c r="C1411" s="12" t="str">
        <f aca="false">'01 ADMIN_ORDER'!C39&amp;" / "&amp;'01 ADMIN_ORDER'!D39</f>
        <v>FRONTCOURT LOW / LA6615</v>
      </c>
      <c r="D1411" s="12"/>
      <c r="E1411" s="12"/>
      <c r="F1411" s="12"/>
      <c r="G1411" s="12"/>
      <c r="H1411" s="12"/>
    </row>
    <row r="1412" customFormat="false" ht="18" hidden="false" customHeight="true" outlineLevel="0" collapsed="false">
      <c r="A1412" s="10" t="s">
        <v>250</v>
      </c>
      <c r="B1412" s="10"/>
      <c r="C1412" s="12" t="str">
        <f aca="false">'01 ADMIN_ORDER'!E39</f>
        <v>903409848</v>
      </c>
      <c r="D1412" s="12"/>
      <c r="E1412" s="12"/>
      <c r="F1412" s="12"/>
      <c r="G1412" s="12"/>
      <c r="H1412" s="12"/>
    </row>
    <row r="1413" customFormat="false" ht="27.75" hidden="false" customHeight="true" outlineLevel="0" collapsed="false">
      <c r="A1413" s="10" t="s">
        <v>251</v>
      </c>
      <c r="B1413" s="10"/>
      <c r="C1413" s="12" t="str">
        <f aca="false">'01 ADMIN_ORDER'!H39</f>
        <v>FTWR WHITE/CORE BLACK/GREY ONE</v>
      </c>
      <c r="D1413" s="12"/>
      <c r="E1413" s="12"/>
      <c r="F1413" s="12"/>
      <c r="G1413" s="12"/>
      <c r="H1413" s="12"/>
    </row>
    <row r="1414" customFormat="false" ht="18" hidden="false" customHeight="true" outlineLevel="0" collapsed="false">
      <c r="A1414" s="10" t="s">
        <v>252</v>
      </c>
      <c r="B1414" s="10"/>
      <c r="C1414" s="12" t="str">
        <f aca="false">'01 ADMIN_ORDER'!B39&amp;" / "&amp;'01 ADMIN_ORDER'!G39</f>
        <v>B-19 / Peru</v>
      </c>
      <c r="D1414" s="12"/>
      <c r="E1414" s="12"/>
      <c r="F1414" s="12"/>
      <c r="G1414" s="12"/>
      <c r="H1414" s="12"/>
    </row>
    <row r="1415" customFormat="false" ht="18" hidden="false" customHeight="true" outlineLevel="0" collapsed="false">
      <c r="A1415" s="10" t="s">
        <v>253</v>
      </c>
      <c r="B1415" s="10"/>
      <c r="C1415" s="13" t="str">
        <f aca="false">'01 ADMIN_ORDER'!I39&amp;" / "&amp;IF('04 KESIAPAN'!B39="","UOM BELUM DIISI",'04 KESIAPAN'!B39)</f>
        <v>852 / UOM BELUM DIISI</v>
      </c>
      <c r="D1415" s="13"/>
      <c r="E1415" s="13"/>
      <c r="F1415" s="13"/>
      <c r="G1415" s="13"/>
      <c r="H1415" s="13"/>
    </row>
    <row r="1416" customFormat="false" ht="18" hidden="false" customHeight="true" outlineLevel="0" collapsed="false">
      <c r="A1416" s="13" t="str">
        <f aca="false">IF('04 KESIAPAN'!C39="","SISTEM UKURAN BELUM DIISI",'04 KESIAPAN'!C39)&amp;" | Tanda -: "&amp;IF('04 KESIAPAN'!D39="","BELUM DIKONFIRMASI",'04 KESIAPAN'!D39)</f>
        <v>SISTEM UKURAN BELUM DIISI | Tanda -: BELUM DIKONFIRMASI</v>
      </c>
      <c r="B1416" s="13"/>
      <c r="C1416" s="13"/>
      <c r="D1416" s="13"/>
      <c r="E1416" s="13"/>
      <c r="F1416" s="13"/>
      <c r="G1416" s="13"/>
      <c r="H1416" s="13"/>
    </row>
    <row r="1417" customFormat="false" ht="18" hidden="false" customHeight="true" outlineLevel="0" collapsed="false">
      <c r="A1417" s="7" t="s">
        <v>254</v>
      </c>
      <c r="B1417" s="7"/>
      <c r="C1417" s="7"/>
      <c r="D1417" s="7"/>
      <c r="E1417" s="7"/>
      <c r="F1417" s="7"/>
      <c r="G1417" s="7"/>
      <c r="H1417" s="7"/>
    </row>
    <row r="1418" customFormat="false" ht="18" hidden="false" customHeight="true" outlineLevel="0" collapsed="false">
      <c r="A1418" s="14" t="s">
        <v>214</v>
      </c>
      <c r="B1418" s="0" t="n">
        <f aca="false">'02 SIZE_RUN'!D39</f>
        <v>0</v>
      </c>
      <c r="C1418" s="14" t="s">
        <v>215</v>
      </c>
      <c r="D1418" s="0" t="n">
        <f aca="false">'02 SIZE_RUN'!E39</f>
        <v>3</v>
      </c>
      <c r="E1418" s="14" t="s">
        <v>216</v>
      </c>
      <c r="F1418" s="0" t="n">
        <f aca="false">'02 SIZE_RUN'!F39</f>
        <v>3</v>
      </c>
      <c r="G1418" s="14" t="s">
        <v>217</v>
      </c>
      <c r="H1418" s="0" t="n">
        <f aca="false">'02 SIZE_RUN'!G39</f>
        <v>3</v>
      </c>
    </row>
    <row r="1419" customFormat="false" ht="18" hidden="false" customHeight="true" outlineLevel="0" collapsed="false">
      <c r="A1419" s="14" t="s">
        <v>218</v>
      </c>
      <c r="B1419" s="0" t="n">
        <f aca="false">'02 SIZE_RUN'!H39</f>
        <v>2</v>
      </c>
      <c r="C1419" s="14" t="s">
        <v>219</v>
      </c>
      <c r="D1419" s="0" t="n">
        <f aca="false">'02 SIZE_RUN'!I39</f>
        <v>1</v>
      </c>
      <c r="E1419" s="14" t="s">
        <v>220</v>
      </c>
      <c r="F1419" s="0" t="n">
        <f aca="false">'02 SIZE_RUN'!J39</f>
        <v>1</v>
      </c>
      <c r="G1419" s="14" t="s">
        <v>221</v>
      </c>
      <c r="H1419" s="0" t="n">
        <f aca="false">'02 SIZE_RUN'!K39</f>
        <v>2</v>
      </c>
    </row>
    <row r="1420" customFormat="false" ht="18" hidden="false" customHeight="true" outlineLevel="0" collapsed="false">
      <c r="A1420" s="14" t="s">
        <v>222</v>
      </c>
      <c r="B1420" s="0" t="n">
        <f aca="false">'02 SIZE_RUN'!L39</f>
        <v>72</v>
      </c>
      <c r="C1420" s="14" t="s">
        <v>223</v>
      </c>
      <c r="D1420" s="0" t="n">
        <f aca="false">'02 SIZE_RUN'!M39</f>
        <v>141</v>
      </c>
      <c r="E1420" s="14" t="s">
        <v>224</v>
      </c>
      <c r="F1420" s="0" t="n">
        <f aca="false">'02 SIZE_RUN'!N39</f>
        <v>176</v>
      </c>
      <c r="G1420" s="14" t="s">
        <v>225</v>
      </c>
      <c r="H1420" s="0" t="n">
        <f aca="false">'02 SIZE_RUN'!O39</f>
        <v>139</v>
      </c>
    </row>
    <row r="1421" customFormat="false" ht="18" hidden="false" customHeight="true" outlineLevel="0" collapsed="false">
      <c r="A1421" s="14" t="s">
        <v>226</v>
      </c>
      <c r="B1421" s="0" t="n">
        <f aca="false">'02 SIZE_RUN'!P39</f>
        <v>138</v>
      </c>
      <c r="C1421" s="14" t="s">
        <v>227</v>
      </c>
      <c r="D1421" s="0" t="n">
        <f aca="false">'02 SIZE_RUN'!Q39</f>
        <v>102</v>
      </c>
      <c r="E1421" s="14" t="s">
        <v>228</v>
      </c>
      <c r="F1421" s="0" t="n">
        <f aca="false">'02 SIZE_RUN'!R39</f>
        <v>69</v>
      </c>
      <c r="G1421" s="14" t="s">
        <v>229</v>
      </c>
      <c r="H1421" s="0" t="n">
        <f aca="false">'02 SIZE_RUN'!S39</f>
        <v>0</v>
      </c>
    </row>
    <row r="1422" customFormat="false" ht="18" hidden="false" customHeight="true" outlineLevel="0" collapsed="false">
      <c r="A1422" s="14" t="s">
        <v>230</v>
      </c>
      <c r="B1422" s="0" t="n">
        <f aca="false">'02 SIZE_RUN'!T39</f>
        <v>0</v>
      </c>
      <c r="C1422" s="14" t="s">
        <v>231</v>
      </c>
      <c r="D1422" s="0" t="n">
        <f aca="false">'02 SIZE_RUN'!U39</f>
        <v>0</v>
      </c>
      <c r="E1422" s="14" t="s">
        <v>232</v>
      </c>
      <c r="F1422" s="0" t="n">
        <f aca="false">'02 SIZE_RUN'!V39</f>
        <v>0</v>
      </c>
      <c r="G1422" s="14" t="s">
        <v>233</v>
      </c>
      <c r="H1422" s="0" t="n">
        <f aca="false">'02 SIZE_RUN'!W39</f>
        <v>0</v>
      </c>
    </row>
    <row r="1423" customFormat="false" ht="18" hidden="false" customHeight="true" outlineLevel="0" collapsed="false">
      <c r="A1423" s="14" t="s">
        <v>234</v>
      </c>
      <c r="B1423" s="0" t="n">
        <f aca="false">'02 SIZE_RUN'!X39</f>
        <v>0</v>
      </c>
      <c r="C1423" s="14" t="s">
        <v>235</v>
      </c>
      <c r="D1423" s="0" t="n">
        <f aca="false">'02 SIZE_RUN'!Y39</f>
        <v>0</v>
      </c>
      <c r="E1423" s="14" t="s">
        <v>236</v>
      </c>
      <c r="F1423" s="0" t="n">
        <f aca="false">'02 SIZE_RUN'!Z39</f>
        <v>0</v>
      </c>
      <c r="G1423" s="14" t="s">
        <v>237</v>
      </c>
      <c r="H1423" s="0" t="n">
        <f aca="false">'02 SIZE_RUN'!AA39</f>
        <v>0</v>
      </c>
    </row>
    <row r="1424" customFormat="false" ht="18" hidden="false" customHeight="true" outlineLevel="0" collapsed="false">
      <c r="A1424" s="14" t="s">
        <v>238</v>
      </c>
      <c r="B1424" s="0" t="n">
        <f aca="false">'02 SIZE_RUN'!AB39</f>
        <v>0</v>
      </c>
      <c r="C1424" s="14" t="s">
        <v>239</v>
      </c>
      <c r="D1424" s="0" t="n">
        <f aca="false">'02 SIZE_RUN'!AC39</f>
        <v>0</v>
      </c>
      <c r="E1424" s="14" t="s">
        <v>240</v>
      </c>
      <c r="F1424" s="0" t="n">
        <f aca="false">'02 SIZE_RUN'!AD39</f>
        <v>0</v>
      </c>
      <c r="G1424" s="14" t="s">
        <v>241</v>
      </c>
      <c r="H1424" s="0" t="n">
        <f aca="false">'02 SIZE_RUN'!AE39</f>
        <v>0</v>
      </c>
    </row>
    <row r="1425" customFormat="false" ht="18" hidden="false" customHeight="true" outlineLevel="0" collapsed="false">
      <c r="A1425" s="14" t="s">
        <v>242</v>
      </c>
      <c r="B1425" s="0" t="n">
        <f aca="false">'02 SIZE_RUN'!AF39</f>
        <v>0</v>
      </c>
    </row>
    <row r="1426" customFormat="false" ht="18" hidden="false" customHeight="true" outlineLevel="0" collapsed="false">
      <c r="A1426" s="10" t="str">
        <f aca="false">"TOTAL SIZE: "&amp;'02 SIZE_RUN'!AG39&amp;" | SELISIH: "&amp;'02 SIZE_RUN'!AH39</f>
        <v>TOTAL SIZE: 852 | SELISIH: 0</v>
      </c>
      <c r="B1426" s="10"/>
      <c r="C1426" s="10"/>
      <c r="D1426" s="10"/>
      <c r="E1426" s="10"/>
      <c r="F1426" s="10"/>
      <c r="G1426" s="10"/>
      <c r="H1426" s="10"/>
    </row>
    <row r="1427" customFormat="false" ht="18" hidden="false" customHeight="true" outlineLevel="0" collapsed="false">
      <c r="A1427" s="10" t="s">
        <v>255</v>
      </c>
      <c r="B1427" s="10"/>
      <c r="C1427" s="10"/>
      <c r="D1427" s="13" t="str">
        <f aca="false">IF('01 ADMIN_ORDER'!P39="","BELUM DITETAPKAN",TEXT('01 ADMIN_ORDER'!P39,"dd mmm yyyy"))</f>
        <v>BELUM DITETAPKAN</v>
      </c>
      <c r="E1427" s="13"/>
      <c r="F1427" s="13"/>
      <c r="G1427" s="13"/>
      <c r="H1427" s="13"/>
    </row>
    <row r="1428" customFormat="false" ht="18" hidden="false" customHeight="true" outlineLevel="0" collapsed="false">
      <c r="A1428" s="10" t="s">
        <v>256</v>
      </c>
      <c r="B1428" s="10"/>
      <c r="C1428" s="10"/>
      <c r="D1428" s="13" t="str">
        <f aca="false">IF('01 ADMIN_ORDER'!Q39="","BELUM DITETAPKAN",TEXT('01 ADMIN_ORDER'!Q39,"dd mmm yyyy"))</f>
        <v>BELUM DITETAPKAN</v>
      </c>
      <c r="E1428" s="13"/>
      <c r="F1428" s="13"/>
      <c r="G1428" s="13"/>
      <c r="H1428" s="13"/>
    </row>
    <row r="1429" customFormat="false" ht="25.5" hidden="false" customHeight="true" outlineLevel="0" collapsed="false">
      <c r="A1429" s="12" t="str">
        <f aca="false">"REFERENSI ASSEMBLY (bukan target upper): "&amp;TEXT('01 ADMIN_ORDER'!M39,"dd mmm yyyy")&amp;" - "&amp;TEXT('01 ADMIN_ORDER'!N39,"dd mmm yyyy")</f>
        <v>REFERENSI ASSEMBLY (bukan target upper): 30 Sep 2026 - 01 Oct 2026</v>
      </c>
      <c r="B1429" s="12"/>
      <c r="C1429" s="12"/>
      <c r="D1429" s="12"/>
      <c r="E1429" s="12"/>
      <c r="F1429" s="12"/>
      <c r="G1429" s="12"/>
      <c r="H1429" s="12"/>
    </row>
    <row r="1430" customFormat="false" ht="18" hidden="false" customHeight="true" outlineLevel="0" collapsed="false">
      <c r="A1430" s="10" t="s">
        <v>257</v>
      </c>
      <c r="B1430" s="10"/>
      <c r="C1430" s="10"/>
      <c r="D1430" s="13" t="str">
        <f aca="false">IF('04 KESIAPAN'!G39="","BELUM DIISI",'04 KESIAPAN'!G39)</f>
        <v>BELUM DIISI</v>
      </c>
      <c r="E1430" s="13"/>
      <c r="F1430" s="13"/>
      <c r="G1430" s="13"/>
      <c r="H1430" s="13"/>
    </row>
    <row r="1431" customFormat="false" ht="18" hidden="false" customHeight="true" outlineLevel="0" collapsed="false">
      <c r="A1431" s="10" t="s">
        <v>258</v>
      </c>
      <c r="B1431" s="10"/>
      <c r="C1431" s="10"/>
      <c r="D1431" s="13" t="str">
        <f aca="false">IF('04 KESIAPAN'!H39="","BELUM DIISI",'04 KESIAPAN'!H39)</f>
        <v>BELUM DIISI</v>
      </c>
      <c r="E1431" s="13"/>
      <c r="F1431" s="13"/>
      <c r="G1431" s="13"/>
      <c r="H1431" s="13"/>
    </row>
    <row r="1432" customFormat="false" ht="18" hidden="false" customHeight="true" outlineLevel="0" collapsed="false">
      <c r="A1432" s="10" t="s">
        <v>259</v>
      </c>
      <c r="B1432" s="10"/>
      <c r="C1432" s="10"/>
      <c r="D1432" s="13" t="str">
        <f aca="false">IF('04 KESIAPAN'!I39="","BELUM DIISI",'04 KESIAPAN'!I39)</f>
        <v>BELUM DIISI</v>
      </c>
      <c r="E1432" s="13"/>
      <c r="F1432" s="13"/>
      <c r="G1432" s="13"/>
      <c r="H1432" s="13"/>
    </row>
    <row r="1433" customFormat="false" ht="18" hidden="false" customHeight="true" outlineLevel="0" collapsed="false">
      <c r="A1433" s="10" t="s">
        <v>260</v>
      </c>
      <c r="B1433" s="10"/>
      <c r="C1433" s="10"/>
      <c r="D1433" s="13" t="str">
        <f aca="false">IF('04 KESIAPAN'!K39="","BELUM DIISI",'04 KESIAPAN'!K39)</f>
        <v>BELUM DIISI</v>
      </c>
      <c r="E1433" s="13"/>
      <c r="F1433" s="13"/>
      <c r="G1433" s="13"/>
      <c r="H1433" s="13"/>
    </row>
    <row r="1434" customFormat="false" ht="18" hidden="false" customHeight="true" outlineLevel="0" collapsed="false">
      <c r="A1434" s="10" t="s">
        <v>261</v>
      </c>
      <c r="B1434" s="10"/>
      <c r="C1434" s="10"/>
      <c r="D1434" s="13" t="str">
        <f aca="false">IF('04 KESIAPAN'!L39="","BELUM DIISI",'04 KESIAPAN'!L39)</f>
        <v>BELUM DIISI</v>
      </c>
      <c r="E1434" s="13"/>
      <c r="F1434" s="13"/>
      <c r="G1434" s="13"/>
      <c r="H1434" s="13"/>
    </row>
    <row r="1435" customFormat="false" ht="18" hidden="false" customHeight="true" outlineLevel="0" collapsed="false">
      <c r="A1435" s="10" t="s">
        <v>262</v>
      </c>
      <c r="B1435" s="10"/>
      <c r="C1435" s="10"/>
      <c r="D1435" s="13" t="str">
        <f aca="false">IF('04 KESIAPAN'!N39="","BELUM DIISI",'04 KESIAPAN'!N39)</f>
        <v>BELUM DIISI</v>
      </c>
      <c r="E1435" s="13"/>
      <c r="F1435" s="13"/>
      <c r="G1435" s="13"/>
      <c r="H1435" s="13"/>
    </row>
    <row r="1436" customFormat="false" ht="18" hidden="false" customHeight="true" outlineLevel="0" collapsed="false">
      <c r="A1436" s="10" t="s">
        <v>263</v>
      </c>
      <c r="B1436" s="10"/>
      <c r="C1436" s="10"/>
      <c r="D1436" s="13" t="str">
        <f aca="false">IF('04 KESIAPAN'!P39="","BELUM DIISI",'04 KESIAPAN'!P39)</f>
        <v>BELUM DIISI</v>
      </c>
      <c r="E1436" s="13"/>
      <c r="F1436" s="13"/>
      <c r="G1436" s="13"/>
      <c r="H1436" s="13"/>
    </row>
    <row r="1437" customFormat="false" ht="18" hidden="false" customHeight="true" outlineLevel="0" collapsed="false">
      <c r="A1437" s="7" t="s">
        <v>264</v>
      </c>
      <c r="B1437" s="7"/>
      <c r="C1437" s="7"/>
      <c r="D1437" s="7"/>
      <c r="E1437" s="7"/>
      <c r="F1437" s="7"/>
      <c r="G1437" s="7"/>
      <c r="H1437" s="7"/>
    </row>
    <row r="1438" customFormat="false" ht="18" hidden="false" customHeight="true" outlineLevel="0" collapsed="false">
      <c r="A1438" s="13"/>
      <c r="B1438" s="13"/>
      <c r="C1438" s="13"/>
      <c r="D1438" s="13"/>
      <c r="E1438" s="13"/>
      <c r="F1438" s="13"/>
      <c r="G1438" s="13"/>
      <c r="H1438" s="13"/>
    </row>
    <row r="1439" customFormat="false" ht="18" hidden="false" customHeight="true" outlineLevel="0" collapsed="false">
      <c r="A1439" s="13"/>
      <c r="B1439" s="13"/>
      <c r="C1439" s="13"/>
      <c r="D1439" s="13"/>
      <c r="E1439" s="13"/>
      <c r="F1439" s="13"/>
      <c r="G1439" s="13"/>
      <c r="H1439" s="13"/>
    </row>
    <row r="1440" customFormat="false" ht="18" hidden="false" customHeight="true" outlineLevel="0" collapsed="false">
      <c r="A1440" s="13"/>
      <c r="B1440" s="13"/>
      <c r="C1440" s="13"/>
      <c r="D1440" s="13"/>
      <c r="E1440" s="13"/>
      <c r="F1440" s="13"/>
      <c r="G1440" s="13"/>
      <c r="H1440" s="13"/>
    </row>
    <row r="1441" customFormat="false" ht="18" hidden="false" customHeight="true" outlineLevel="0" collapsed="false">
      <c r="A1441" s="12" t="s">
        <v>265</v>
      </c>
      <c r="B1441" s="12"/>
      <c r="C1441" s="12"/>
      <c r="D1441" s="12"/>
      <c r="E1441" s="12" t="s">
        <v>266</v>
      </c>
      <c r="F1441" s="12"/>
      <c r="G1441" s="12"/>
      <c r="H1441" s="12"/>
    </row>
    <row r="1442" customFormat="false" ht="18" hidden="false" customHeight="true" outlineLevel="0" collapsed="false">
      <c r="A1442" s="12" t="s">
        <v>304</v>
      </c>
      <c r="B1442" s="12"/>
      <c r="C1442" s="12"/>
      <c r="D1442" s="12"/>
      <c r="E1442" s="12"/>
      <c r="F1442" s="12"/>
      <c r="G1442" s="12"/>
      <c r="H1442" s="12"/>
    </row>
    <row r="1443" customFormat="false" ht="18" hidden="false" customHeight="true" outlineLevel="0" collapsed="false"/>
    <row r="1444" customFormat="false" ht="18" hidden="false" customHeight="true" outlineLevel="0" collapsed="false"/>
    <row r="1445" customFormat="false" ht="25.5" hidden="false" customHeight="true" outlineLevel="0" collapsed="false">
      <c r="A1445" s="7" t="s">
        <v>246</v>
      </c>
      <c r="B1445" s="7"/>
      <c r="C1445" s="7"/>
      <c r="D1445" s="7"/>
      <c r="E1445" s="7"/>
      <c r="F1445" s="7"/>
      <c r="G1445" s="7"/>
      <c r="H1445" s="7"/>
    </row>
    <row r="1446" customFormat="false" ht="18" hidden="false" customHeight="true" outlineLevel="0" collapsed="false">
      <c r="A1446" s="8" t="str">
        <f aca="false">'01 ADMIN_ORDER'!R40</f>
        <v>DRAFT - PERLU VERIFIKASI</v>
      </c>
      <c r="B1446" s="8"/>
      <c r="C1446" s="8"/>
      <c r="D1446" s="8"/>
      <c r="E1446" s="8"/>
      <c r="F1446" s="8"/>
      <c r="G1446" s="8"/>
      <c r="H1446" s="8"/>
    </row>
    <row r="1447" customFormat="false" ht="18" hidden="false" customHeight="true" outlineLevel="0" collapsed="false">
      <c r="A1447" s="9" t="s">
        <v>247</v>
      </c>
      <c r="B1447" s="9"/>
      <c r="C1447" s="9"/>
      <c r="D1447" s="9"/>
      <c r="E1447" s="9"/>
      <c r="F1447" s="9"/>
      <c r="G1447" s="9"/>
      <c r="H1447" s="9"/>
    </row>
    <row r="1448" customFormat="false" ht="18" hidden="false" customHeight="true" outlineLevel="0" collapsed="false">
      <c r="A1448" s="10" t="s">
        <v>248</v>
      </c>
      <c r="B1448" s="10"/>
      <c r="C1448" s="11" t="str">
        <f aca="false">'01 ADMIN_ORDER'!A40</f>
        <v>175/10/39 (59)</v>
      </c>
      <c r="D1448" s="11"/>
      <c r="E1448" s="11"/>
      <c r="F1448" s="11"/>
      <c r="G1448" s="11"/>
      <c r="H1448" s="11"/>
    </row>
    <row r="1449" customFormat="false" ht="18" hidden="false" customHeight="true" outlineLevel="0" collapsed="false">
      <c r="A1449" s="10" t="s">
        <v>249</v>
      </c>
      <c r="B1449" s="10"/>
      <c r="C1449" s="12" t="str">
        <f aca="false">'01 ADMIN_ORDER'!C40&amp;" / "&amp;'01 ADMIN_ORDER'!D40</f>
        <v>FRONTCOURT LOW / LA6607</v>
      </c>
      <c r="D1449" s="12"/>
      <c r="E1449" s="12"/>
      <c r="F1449" s="12"/>
      <c r="G1449" s="12"/>
      <c r="H1449" s="12"/>
    </row>
    <row r="1450" customFormat="false" ht="18" hidden="false" customHeight="true" outlineLevel="0" collapsed="false">
      <c r="A1450" s="10" t="s">
        <v>250</v>
      </c>
      <c r="B1450" s="10"/>
      <c r="C1450" s="12" t="str">
        <f aca="false">'01 ADMIN_ORDER'!E40</f>
        <v>903153457</v>
      </c>
      <c r="D1450" s="12"/>
      <c r="E1450" s="12"/>
      <c r="F1450" s="12"/>
      <c r="G1450" s="12"/>
      <c r="H1450" s="12"/>
    </row>
    <row r="1451" customFormat="false" ht="27.75" hidden="false" customHeight="true" outlineLevel="0" collapsed="false">
      <c r="A1451" s="10" t="s">
        <v>251</v>
      </c>
      <c r="B1451" s="10"/>
      <c r="C1451" s="12" t="str">
        <f aca="false">'01 ADMIN_ORDER'!H40</f>
        <v>FTWR WHITE/FTWR WHITE/GREY TWO</v>
      </c>
      <c r="D1451" s="12"/>
      <c r="E1451" s="12"/>
      <c r="F1451" s="12"/>
      <c r="G1451" s="12"/>
      <c r="H1451" s="12"/>
    </row>
    <row r="1452" customFormat="false" ht="18" hidden="false" customHeight="true" outlineLevel="0" collapsed="false">
      <c r="A1452" s="10" t="s">
        <v>252</v>
      </c>
      <c r="B1452" s="10"/>
      <c r="C1452" s="12" t="str">
        <f aca="false">'01 ADMIN_ORDER'!B40&amp;" / "&amp;'01 ADMIN_ORDER'!G40</f>
        <v>B-19 / Germany</v>
      </c>
      <c r="D1452" s="12"/>
      <c r="E1452" s="12"/>
      <c r="F1452" s="12"/>
      <c r="G1452" s="12"/>
      <c r="H1452" s="12"/>
    </row>
    <row r="1453" customFormat="false" ht="18" hidden="false" customHeight="true" outlineLevel="0" collapsed="false">
      <c r="A1453" s="10" t="s">
        <v>253</v>
      </c>
      <c r="B1453" s="10"/>
      <c r="C1453" s="13" t="str">
        <f aca="false">'01 ADMIN_ORDER'!I40&amp;" / "&amp;IF('04 KESIAPAN'!B40="","UOM BELUM DIISI",'04 KESIAPAN'!B40)</f>
        <v>650 / UOM BELUM DIISI</v>
      </c>
      <c r="D1453" s="13"/>
      <c r="E1453" s="13"/>
      <c r="F1453" s="13"/>
      <c r="G1453" s="13"/>
      <c r="H1453" s="13"/>
    </row>
    <row r="1454" customFormat="false" ht="18" hidden="false" customHeight="true" outlineLevel="0" collapsed="false">
      <c r="A1454" s="13" t="str">
        <f aca="false">IF('04 KESIAPAN'!C40="","SISTEM UKURAN BELUM DIISI",'04 KESIAPAN'!C40)&amp;" | Tanda -: "&amp;IF('04 KESIAPAN'!D40="","BELUM DIKONFIRMASI",'04 KESIAPAN'!D40)</f>
        <v>SISTEM UKURAN BELUM DIISI | Tanda -: BELUM DIKONFIRMASI</v>
      </c>
      <c r="B1454" s="13"/>
      <c r="C1454" s="13"/>
      <c r="D1454" s="13"/>
      <c r="E1454" s="13"/>
      <c r="F1454" s="13"/>
      <c r="G1454" s="13"/>
      <c r="H1454" s="13"/>
    </row>
    <row r="1455" customFormat="false" ht="18" hidden="false" customHeight="true" outlineLevel="0" collapsed="false">
      <c r="A1455" s="7" t="s">
        <v>254</v>
      </c>
      <c r="B1455" s="7"/>
      <c r="C1455" s="7"/>
      <c r="D1455" s="7"/>
      <c r="E1455" s="7"/>
      <c r="F1455" s="7"/>
      <c r="G1455" s="7"/>
      <c r="H1455" s="7"/>
    </row>
    <row r="1456" customFormat="false" ht="18" hidden="false" customHeight="true" outlineLevel="0" collapsed="false">
      <c r="A1456" s="14" t="s">
        <v>214</v>
      </c>
      <c r="B1456" s="0" t="n">
        <f aca="false">'02 SIZE_RUN'!D40</f>
        <v>0</v>
      </c>
      <c r="C1456" s="14" t="s">
        <v>215</v>
      </c>
      <c r="D1456" s="0" t="n">
        <f aca="false">'02 SIZE_RUN'!E40</f>
        <v>0</v>
      </c>
      <c r="E1456" s="14" t="s">
        <v>216</v>
      </c>
      <c r="F1456" s="0" t="n">
        <f aca="false">'02 SIZE_RUN'!F40</f>
        <v>0</v>
      </c>
      <c r="G1456" s="14" t="s">
        <v>217</v>
      </c>
      <c r="H1456" s="0" t="n">
        <f aca="false">'02 SIZE_RUN'!G40</f>
        <v>0</v>
      </c>
    </row>
    <row r="1457" customFormat="false" ht="18" hidden="false" customHeight="true" outlineLevel="0" collapsed="false">
      <c r="A1457" s="14" t="s">
        <v>218</v>
      </c>
      <c r="B1457" s="0" t="n">
        <f aca="false">'02 SIZE_RUN'!H40</f>
        <v>0</v>
      </c>
      <c r="C1457" s="14" t="s">
        <v>219</v>
      </c>
      <c r="D1457" s="0" t="n">
        <f aca="false">'02 SIZE_RUN'!I40</f>
        <v>0</v>
      </c>
      <c r="E1457" s="14" t="s">
        <v>220</v>
      </c>
      <c r="F1457" s="0" t="n">
        <f aca="false">'02 SIZE_RUN'!J40</f>
        <v>6</v>
      </c>
      <c r="G1457" s="14" t="s">
        <v>221</v>
      </c>
      <c r="H1457" s="0" t="n">
        <f aca="false">'02 SIZE_RUN'!K40</f>
        <v>10</v>
      </c>
    </row>
    <row r="1458" customFormat="false" ht="18" hidden="false" customHeight="true" outlineLevel="0" collapsed="false">
      <c r="A1458" s="14" t="s">
        <v>222</v>
      </c>
      <c r="B1458" s="0" t="n">
        <f aca="false">'02 SIZE_RUN'!L40</f>
        <v>23</v>
      </c>
      <c r="C1458" s="14" t="s">
        <v>223</v>
      </c>
      <c r="D1458" s="0" t="n">
        <f aca="false">'02 SIZE_RUN'!M40</f>
        <v>29</v>
      </c>
      <c r="E1458" s="14" t="s">
        <v>224</v>
      </c>
      <c r="F1458" s="0" t="n">
        <f aca="false">'02 SIZE_RUN'!N40</f>
        <v>81</v>
      </c>
      <c r="G1458" s="14" t="s">
        <v>225</v>
      </c>
      <c r="H1458" s="0" t="n">
        <f aca="false">'02 SIZE_RUN'!O40</f>
        <v>72</v>
      </c>
    </row>
    <row r="1459" customFormat="false" ht="18" hidden="false" customHeight="true" outlineLevel="0" collapsed="false">
      <c r="A1459" s="14" t="s">
        <v>226</v>
      </c>
      <c r="B1459" s="0" t="n">
        <f aca="false">'02 SIZE_RUN'!P40</f>
        <v>117</v>
      </c>
      <c r="C1459" s="14" t="s">
        <v>227</v>
      </c>
      <c r="D1459" s="0" t="n">
        <f aca="false">'02 SIZE_RUN'!Q40</f>
        <v>88</v>
      </c>
      <c r="E1459" s="14" t="s">
        <v>228</v>
      </c>
      <c r="F1459" s="0" t="n">
        <f aca="false">'02 SIZE_RUN'!R40</f>
        <v>78</v>
      </c>
      <c r="G1459" s="14" t="s">
        <v>229</v>
      </c>
      <c r="H1459" s="0" t="n">
        <f aca="false">'02 SIZE_RUN'!S40</f>
        <v>71</v>
      </c>
    </row>
    <row r="1460" customFormat="false" ht="18" hidden="false" customHeight="true" outlineLevel="0" collapsed="false">
      <c r="A1460" s="14" t="s">
        <v>230</v>
      </c>
      <c r="B1460" s="0" t="n">
        <f aca="false">'02 SIZE_RUN'!T40</f>
        <v>49</v>
      </c>
      <c r="C1460" s="14" t="s">
        <v>231</v>
      </c>
      <c r="D1460" s="0" t="n">
        <f aca="false">'02 SIZE_RUN'!U40</f>
        <v>0</v>
      </c>
      <c r="E1460" s="14" t="s">
        <v>232</v>
      </c>
      <c r="F1460" s="0" t="n">
        <f aca="false">'02 SIZE_RUN'!V40</f>
        <v>26</v>
      </c>
      <c r="G1460" s="14" t="s">
        <v>233</v>
      </c>
      <c r="H1460" s="0" t="n">
        <f aca="false">'02 SIZE_RUN'!W40</f>
        <v>0</v>
      </c>
    </row>
    <row r="1461" customFormat="false" ht="18" hidden="false" customHeight="true" outlineLevel="0" collapsed="false">
      <c r="A1461" s="14" t="s">
        <v>234</v>
      </c>
      <c r="B1461" s="0" t="n">
        <f aca="false">'02 SIZE_RUN'!X40</f>
        <v>0</v>
      </c>
      <c r="C1461" s="14" t="s">
        <v>235</v>
      </c>
      <c r="D1461" s="0" t="n">
        <f aca="false">'02 SIZE_RUN'!Y40</f>
        <v>0</v>
      </c>
      <c r="E1461" s="14" t="s">
        <v>236</v>
      </c>
      <c r="F1461" s="0" t="n">
        <f aca="false">'02 SIZE_RUN'!Z40</f>
        <v>0</v>
      </c>
      <c r="G1461" s="14" t="s">
        <v>237</v>
      </c>
      <c r="H1461" s="0" t="n">
        <f aca="false">'02 SIZE_RUN'!AA40</f>
        <v>0</v>
      </c>
    </row>
    <row r="1462" customFormat="false" ht="18" hidden="false" customHeight="true" outlineLevel="0" collapsed="false">
      <c r="A1462" s="14" t="s">
        <v>238</v>
      </c>
      <c r="B1462" s="0" t="n">
        <f aca="false">'02 SIZE_RUN'!AB40</f>
        <v>0</v>
      </c>
      <c r="C1462" s="14" t="s">
        <v>239</v>
      </c>
      <c r="D1462" s="0" t="n">
        <f aca="false">'02 SIZE_RUN'!AC40</f>
        <v>0</v>
      </c>
      <c r="E1462" s="14" t="s">
        <v>240</v>
      </c>
      <c r="F1462" s="0" t="n">
        <f aca="false">'02 SIZE_RUN'!AD40</f>
        <v>0</v>
      </c>
      <c r="G1462" s="14" t="s">
        <v>241</v>
      </c>
      <c r="H1462" s="0" t="n">
        <f aca="false">'02 SIZE_RUN'!AE40</f>
        <v>0</v>
      </c>
    </row>
    <row r="1463" customFormat="false" ht="18" hidden="false" customHeight="true" outlineLevel="0" collapsed="false">
      <c r="A1463" s="14" t="s">
        <v>242</v>
      </c>
      <c r="B1463" s="0" t="n">
        <f aca="false">'02 SIZE_RUN'!AF40</f>
        <v>0</v>
      </c>
    </row>
    <row r="1464" customFormat="false" ht="18" hidden="false" customHeight="true" outlineLevel="0" collapsed="false">
      <c r="A1464" s="10" t="str">
        <f aca="false">"TOTAL SIZE: "&amp;'02 SIZE_RUN'!AG40&amp;" | SELISIH: "&amp;'02 SIZE_RUN'!AH40</f>
        <v>TOTAL SIZE: 650 | SELISIH: 0</v>
      </c>
      <c r="B1464" s="10"/>
      <c r="C1464" s="10"/>
      <c r="D1464" s="10"/>
      <c r="E1464" s="10"/>
      <c r="F1464" s="10"/>
      <c r="G1464" s="10"/>
      <c r="H1464" s="10"/>
    </row>
    <row r="1465" customFormat="false" ht="18" hidden="false" customHeight="true" outlineLevel="0" collapsed="false">
      <c r="A1465" s="10" t="s">
        <v>255</v>
      </c>
      <c r="B1465" s="10"/>
      <c r="C1465" s="10"/>
      <c r="D1465" s="13" t="str">
        <f aca="false">IF('01 ADMIN_ORDER'!P40="","BELUM DITETAPKAN",TEXT('01 ADMIN_ORDER'!P40,"dd mmm yyyy"))</f>
        <v>BELUM DITETAPKAN</v>
      </c>
      <c r="E1465" s="13"/>
      <c r="F1465" s="13"/>
      <c r="G1465" s="13"/>
      <c r="H1465" s="13"/>
    </row>
    <row r="1466" customFormat="false" ht="18" hidden="false" customHeight="true" outlineLevel="0" collapsed="false">
      <c r="A1466" s="10" t="s">
        <v>256</v>
      </c>
      <c r="B1466" s="10"/>
      <c r="C1466" s="10"/>
      <c r="D1466" s="13" t="str">
        <f aca="false">IF('01 ADMIN_ORDER'!Q40="","BELUM DITETAPKAN",TEXT('01 ADMIN_ORDER'!Q40,"dd mmm yyyy"))</f>
        <v>BELUM DITETAPKAN</v>
      </c>
      <c r="E1466" s="13"/>
      <c r="F1466" s="13"/>
      <c r="G1466" s="13"/>
      <c r="H1466" s="13"/>
    </row>
    <row r="1467" customFormat="false" ht="25.5" hidden="false" customHeight="true" outlineLevel="0" collapsed="false">
      <c r="A1467" s="12" t="str">
        <f aca="false">"REFERENSI ASSEMBLY (bukan target upper): "&amp;TEXT('01 ADMIN_ORDER'!M40,"dd mmm yyyy")&amp;" - "&amp;TEXT('01 ADMIN_ORDER'!N40,"dd mmm yyyy")</f>
        <v>REFERENSI ASSEMBLY (bukan target upper): 01 Oct 2026 - 02 Oct 2026</v>
      </c>
      <c r="B1467" s="12"/>
      <c r="C1467" s="12"/>
      <c r="D1467" s="12"/>
      <c r="E1467" s="12"/>
      <c r="F1467" s="12"/>
      <c r="G1467" s="12"/>
      <c r="H1467" s="12"/>
    </row>
    <row r="1468" customFormat="false" ht="18" hidden="false" customHeight="true" outlineLevel="0" collapsed="false">
      <c r="A1468" s="10" t="s">
        <v>257</v>
      </c>
      <c r="B1468" s="10"/>
      <c r="C1468" s="10"/>
      <c r="D1468" s="13" t="str">
        <f aca="false">IF('04 KESIAPAN'!G40="","BELUM DIISI",'04 KESIAPAN'!G40)</f>
        <v>BELUM DIISI</v>
      </c>
      <c r="E1468" s="13"/>
      <c r="F1468" s="13"/>
      <c r="G1468" s="13"/>
      <c r="H1468" s="13"/>
    </row>
    <row r="1469" customFormat="false" ht="18" hidden="false" customHeight="true" outlineLevel="0" collapsed="false">
      <c r="A1469" s="10" t="s">
        <v>258</v>
      </c>
      <c r="B1469" s="10"/>
      <c r="C1469" s="10"/>
      <c r="D1469" s="13" t="str">
        <f aca="false">IF('04 KESIAPAN'!H40="","BELUM DIISI",'04 KESIAPAN'!H40)</f>
        <v>BELUM DIISI</v>
      </c>
      <c r="E1469" s="13"/>
      <c r="F1469" s="13"/>
      <c r="G1469" s="13"/>
      <c r="H1469" s="13"/>
    </row>
    <row r="1470" customFormat="false" ht="18" hidden="false" customHeight="true" outlineLevel="0" collapsed="false">
      <c r="A1470" s="10" t="s">
        <v>259</v>
      </c>
      <c r="B1470" s="10"/>
      <c r="C1470" s="10"/>
      <c r="D1470" s="13" t="str">
        <f aca="false">IF('04 KESIAPAN'!I40="","BELUM DIISI",'04 KESIAPAN'!I40)</f>
        <v>BELUM DIISI</v>
      </c>
      <c r="E1470" s="13"/>
      <c r="F1470" s="13"/>
      <c r="G1470" s="13"/>
      <c r="H1470" s="13"/>
    </row>
    <row r="1471" customFormat="false" ht="18" hidden="false" customHeight="true" outlineLevel="0" collapsed="false">
      <c r="A1471" s="10" t="s">
        <v>260</v>
      </c>
      <c r="B1471" s="10"/>
      <c r="C1471" s="10"/>
      <c r="D1471" s="13" t="str">
        <f aca="false">IF('04 KESIAPAN'!K40="","BELUM DIISI",'04 KESIAPAN'!K40)</f>
        <v>BELUM DIISI</v>
      </c>
      <c r="E1471" s="13"/>
      <c r="F1471" s="13"/>
      <c r="G1471" s="13"/>
      <c r="H1471" s="13"/>
    </row>
    <row r="1472" customFormat="false" ht="18" hidden="false" customHeight="true" outlineLevel="0" collapsed="false">
      <c r="A1472" s="10" t="s">
        <v>261</v>
      </c>
      <c r="B1472" s="10"/>
      <c r="C1472" s="10"/>
      <c r="D1472" s="13" t="str">
        <f aca="false">IF('04 KESIAPAN'!L40="","BELUM DIISI",'04 KESIAPAN'!L40)</f>
        <v>BELUM DIISI</v>
      </c>
      <c r="E1472" s="13"/>
      <c r="F1472" s="13"/>
      <c r="G1472" s="13"/>
      <c r="H1472" s="13"/>
    </row>
    <row r="1473" customFormat="false" ht="18" hidden="false" customHeight="true" outlineLevel="0" collapsed="false">
      <c r="A1473" s="10" t="s">
        <v>262</v>
      </c>
      <c r="B1473" s="10"/>
      <c r="C1473" s="10"/>
      <c r="D1473" s="13" t="str">
        <f aca="false">IF('04 KESIAPAN'!N40="","BELUM DIISI",'04 KESIAPAN'!N40)</f>
        <v>BELUM DIISI</v>
      </c>
      <c r="E1473" s="13"/>
      <c r="F1473" s="13"/>
      <c r="G1473" s="13"/>
      <c r="H1473" s="13"/>
    </row>
    <row r="1474" customFormat="false" ht="18" hidden="false" customHeight="true" outlineLevel="0" collapsed="false">
      <c r="A1474" s="10" t="s">
        <v>263</v>
      </c>
      <c r="B1474" s="10"/>
      <c r="C1474" s="10"/>
      <c r="D1474" s="13" t="str">
        <f aca="false">IF('04 KESIAPAN'!P40="","BELUM DIISI",'04 KESIAPAN'!P40)</f>
        <v>BELUM DIISI</v>
      </c>
      <c r="E1474" s="13"/>
      <c r="F1474" s="13"/>
      <c r="G1474" s="13"/>
      <c r="H1474" s="13"/>
    </row>
    <row r="1475" customFormat="false" ht="18" hidden="false" customHeight="true" outlineLevel="0" collapsed="false">
      <c r="A1475" s="7" t="s">
        <v>264</v>
      </c>
      <c r="B1475" s="7"/>
      <c r="C1475" s="7"/>
      <c r="D1475" s="7"/>
      <c r="E1475" s="7"/>
      <c r="F1475" s="7"/>
      <c r="G1475" s="7"/>
      <c r="H1475" s="7"/>
    </row>
    <row r="1476" customFormat="false" ht="18" hidden="false" customHeight="true" outlineLevel="0" collapsed="false">
      <c r="A1476" s="13"/>
      <c r="B1476" s="13"/>
      <c r="C1476" s="13"/>
      <c r="D1476" s="13"/>
      <c r="E1476" s="13"/>
      <c r="F1476" s="13"/>
      <c r="G1476" s="13"/>
      <c r="H1476" s="13"/>
    </row>
    <row r="1477" customFormat="false" ht="18" hidden="false" customHeight="true" outlineLevel="0" collapsed="false">
      <c r="A1477" s="13"/>
      <c r="B1477" s="13"/>
      <c r="C1477" s="13"/>
      <c r="D1477" s="13"/>
      <c r="E1477" s="13"/>
      <c r="F1477" s="13"/>
      <c r="G1477" s="13"/>
      <c r="H1477" s="13"/>
    </row>
    <row r="1478" customFormat="false" ht="18" hidden="false" customHeight="true" outlineLevel="0" collapsed="false">
      <c r="A1478" s="13"/>
      <c r="B1478" s="13"/>
      <c r="C1478" s="13"/>
      <c r="D1478" s="13"/>
      <c r="E1478" s="13"/>
      <c r="F1478" s="13"/>
      <c r="G1478" s="13"/>
      <c r="H1478" s="13"/>
    </row>
    <row r="1479" customFormat="false" ht="18" hidden="false" customHeight="true" outlineLevel="0" collapsed="false">
      <c r="A1479" s="12" t="s">
        <v>265</v>
      </c>
      <c r="B1479" s="12"/>
      <c r="C1479" s="12"/>
      <c r="D1479" s="12"/>
      <c r="E1479" s="12" t="s">
        <v>266</v>
      </c>
      <c r="F1479" s="12"/>
      <c r="G1479" s="12"/>
      <c r="H1479" s="12"/>
    </row>
    <row r="1480" customFormat="false" ht="18" hidden="false" customHeight="true" outlineLevel="0" collapsed="false">
      <c r="A1480" s="12" t="s">
        <v>305</v>
      </c>
      <c r="B1480" s="12"/>
      <c r="C1480" s="12"/>
      <c r="D1480" s="12"/>
      <c r="E1480" s="12"/>
      <c r="F1480" s="12"/>
      <c r="G1480" s="12"/>
      <c r="H1480" s="12"/>
    </row>
    <row r="1481" customFormat="false" ht="18" hidden="false" customHeight="true" outlineLevel="0" collapsed="false"/>
    <row r="1482" customFormat="false" ht="18" hidden="false" customHeight="true" outlineLevel="0" collapsed="false"/>
    <row r="1483" customFormat="false" ht="25.5" hidden="false" customHeight="true" outlineLevel="0" collapsed="false">
      <c r="A1483" s="7" t="s">
        <v>246</v>
      </c>
      <c r="B1483" s="7"/>
      <c r="C1483" s="7"/>
      <c r="D1483" s="7"/>
      <c r="E1483" s="7"/>
      <c r="F1483" s="7"/>
      <c r="G1483" s="7"/>
      <c r="H1483" s="7"/>
    </row>
    <row r="1484" customFormat="false" ht="18" hidden="false" customHeight="true" outlineLevel="0" collapsed="false">
      <c r="A1484" s="8" t="str">
        <f aca="false">'01 ADMIN_ORDER'!R41</f>
        <v>DRAFT - PERLU VERIFIKASI</v>
      </c>
      <c r="B1484" s="8"/>
      <c r="C1484" s="8"/>
      <c r="D1484" s="8"/>
      <c r="E1484" s="8"/>
      <c r="F1484" s="8"/>
      <c r="G1484" s="8"/>
      <c r="H1484" s="8"/>
    </row>
    <row r="1485" customFormat="false" ht="18" hidden="false" customHeight="true" outlineLevel="0" collapsed="false">
      <c r="A1485" s="9" t="s">
        <v>247</v>
      </c>
      <c r="B1485" s="9"/>
      <c r="C1485" s="9"/>
      <c r="D1485" s="9"/>
      <c r="E1485" s="9"/>
      <c r="F1485" s="9"/>
      <c r="G1485" s="9"/>
      <c r="H1485" s="9"/>
    </row>
    <row r="1486" customFormat="false" ht="18" hidden="false" customHeight="true" outlineLevel="0" collapsed="false">
      <c r="A1486" s="10" t="s">
        <v>248</v>
      </c>
      <c r="B1486" s="10"/>
      <c r="C1486" s="11" t="str">
        <f aca="false">'01 ADMIN_ORDER'!A41</f>
        <v>176/10/40 (59)</v>
      </c>
      <c r="D1486" s="11"/>
      <c r="E1486" s="11"/>
      <c r="F1486" s="11"/>
      <c r="G1486" s="11"/>
      <c r="H1486" s="11"/>
    </row>
    <row r="1487" customFormat="false" ht="18" hidden="false" customHeight="true" outlineLevel="0" collapsed="false">
      <c r="A1487" s="10" t="s">
        <v>249</v>
      </c>
      <c r="B1487" s="10"/>
      <c r="C1487" s="12" t="str">
        <f aca="false">'01 ADMIN_ORDER'!C41&amp;" / "&amp;'01 ADMIN_ORDER'!D41</f>
        <v>FRONTCOURT LOW / LA6607</v>
      </c>
      <c r="D1487" s="12"/>
      <c r="E1487" s="12"/>
      <c r="F1487" s="12"/>
      <c r="G1487" s="12"/>
      <c r="H1487" s="12"/>
    </row>
    <row r="1488" customFormat="false" ht="18" hidden="false" customHeight="true" outlineLevel="0" collapsed="false">
      <c r="A1488" s="10" t="s">
        <v>250</v>
      </c>
      <c r="B1488" s="10"/>
      <c r="C1488" s="12" t="str">
        <f aca="false">'01 ADMIN_ORDER'!E41</f>
        <v>903153502</v>
      </c>
      <c r="D1488" s="12"/>
      <c r="E1488" s="12"/>
      <c r="F1488" s="12"/>
      <c r="G1488" s="12"/>
      <c r="H1488" s="12"/>
    </row>
    <row r="1489" customFormat="false" ht="27.75" hidden="false" customHeight="true" outlineLevel="0" collapsed="false">
      <c r="A1489" s="10" t="s">
        <v>251</v>
      </c>
      <c r="B1489" s="10"/>
      <c r="C1489" s="12" t="str">
        <f aca="false">'01 ADMIN_ORDER'!H41</f>
        <v>FTWR WHITE/FTWR WHITE/GREY TWO</v>
      </c>
      <c r="D1489" s="12"/>
      <c r="E1489" s="12"/>
      <c r="F1489" s="12"/>
      <c r="G1489" s="12"/>
      <c r="H1489" s="12"/>
    </row>
    <row r="1490" customFormat="false" ht="18" hidden="false" customHeight="true" outlineLevel="0" collapsed="false">
      <c r="A1490" s="10" t="s">
        <v>252</v>
      </c>
      <c r="B1490" s="10"/>
      <c r="C1490" s="12" t="str">
        <f aca="false">'01 ADMIN_ORDER'!B41&amp;" / "&amp;'01 ADMIN_ORDER'!G41</f>
        <v>B-19 / Germany</v>
      </c>
      <c r="D1490" s="12"/>
      <c r="E1490" s="12"/>
      <c r="F1490" s="12"/>
      <c r="G1490" s="12"/>
      <c r="H1490" s="12"/>
    </row>
    <row r="1491" customFormat="false" ht="18" hidden="false" customHeight="true" outlineLevel="0" collapsed="false">
      <c r="A1491" s="10" t="s">
        <v>253</v>
      </c>
      <c r="B1491" s="10"/>
      <c r="C1491" s="13" t="str">
        <f aca="false">'01 ADMIN_ORDER'!I41&amp;" / "&amp;IF('04 KESIAPAN'!B41="","UOM BELUM DIISI",'04 KESIAPAN'!B41)</f>
        <v>650 / UOM BELUM DIISI</v>
      </c>
      <c r="D1491" s="13"/>
      <c r="E1491" s="13"/>
      <c r="F1491" s="13"/>
      <c r="G1491" s="13"/>
      <c r="H1491" s="13"/>
    </row>
    <row r="1492" customFormat="false" ht="18" hidden="false" customHeight="true" outlineLevel="0" collapsed="false">
      <c r="A1492" s="13" t="str">
        <f aca="false">IF('04 KESIAPAN'!C41="","SISTEM UKURAN BELUM DIISI",'04 KESIAPAN'!C41)&amp;" | Tanda -: "&amp;IF('04 KESIAPAN'!D41="","BELUM DIKONFIRMASI",'04 KESIAPAN'!D41)</f>
        <v>SISTEM UKURAN BELUM DIISI | Tanda -: BELUM DIKONFIRMASI</v>
      </c>
      <c r="B1492" s="13"/>
      <c r="C1492" s="13"/>
      <c r="D1492" s="13"/>
      <c r="E1492" s="13"/>
      <c r="F1492" s="13"/>
      <c r="G1492" s="13"/>
      <c r="H1492" s="13"/>
    </row>
    <row r="1493" customFormat="false" ht="18" hidden="false" customHeight="true" outlineLevel="0" collapsed="false">
      <c r="A1493" s="7" t="s">
        <v>254</v>
      </c>
      <c r="B1493" s="7"/>
      <c r="C1493" s="7"/>
      <c r="D1493" s="7"/>
      <c r="E1493" s="7"/>
      <c r="F1493" s="7"/>
      <c r="G1493" s="7"/>
      <c r="H1493" s="7"/>
    </row>
    <row r="1494" customFormat="false" ht="18" hidden="false" customHeight="true" outlineLevel="0" collapsed="false">
      <c r="A1494" s="14" t="s">
        <v>214</v>
      </c>
      <c r="B1494" s="0" t="n">
        <f aca="false">'02 SIZE_RUN'!D41</f>
        <v>0</v>
      </c>
      <c r="C1494" s="14" t="s">
        <v>215</v>
      </c>
      <c r="D1494" s="0" t="n">
        <f aca="false">'02 SIZE_RUN'!E41</f>
        <v>0</v>
      </c>
      <c r="E1494" s="14" t="s">
        <v>216</v>
      </c>
      <c r="F1494" s="0" t="n">
        <f aca="false">'02 SIZE_RUN'!F41</f>
        <v>0</v>
      </c>
      <c r="G1494" s="14" t="s">
        <v>217</v>
      </c>
      <c r="H1494" s="0" t="n">
        <f aca="false">'02 SIZE_RUN'!G41</f>
        <v>0</v>
      </c>
    </row>
    <row r="1495" customFormat="false" ht="18" hidden="false" customHeight="true" outlineLevel="0" collapsed="false">
      <c r="A1495" s="14" t="s">
        <v>218</v>
      </c>
      <c r="B1495" s="0" t="n">
        <f aca="false">'02 SIZE_RUN'!H41</f>
        <v>0</v>
      </c>
      <c r="C1495" s="14" t="s">
        <v>219</v>
      </c>
      <c r="D1495" s="0" t="n">
        <f aca="false">'02 SIZE_RUN'!I41</f>
        <v>0</v>
      </c>
      <c r="E1495" s="14" t="s">
        <v>220</v>
      </c>
      <c r="F1495" s="0" t="n">
        <f aca="false">'02 SIZE_RUN'!J41</f>
        <v>10</v>
      </c>
      <c r="G1495" s="14" t="s">
        <v>221</v>
      </c>
      <c r="H1495" s="0" t="n">
        <f aca="false">'02 SIZE_RUN'!K41</f>
        <v>32</v>
      </c>
    </row>
    <row r="1496" customFormat="false" ht="18" hidden="false" customHeight="true" outlineLevel="0" collapsed="false">
      <c r="A1496" s="14" t="s">
        <v>222</v>
      </c>
      <c r="B1496" s="0" t="n">
        <f aca="false">'02 SIZE_RUN'!L41</f>
        <v>36</v>
      </c>
      <c r="C1496" s="14" t="s">
        <v>223</v>
      </c>
      <c r="D1496" s="0" t="n">
        <f aca="false">'02 SIZE_RUN'!M41</f>
        <v>36</v>
      </c>
      <c r="E1496" s="14" t="s">
        <v>224</v>
      </c>
      <c r="F1496" s="0" t="n">
        <f aca="false">'02 SIZE_RUN'!N41</f>
        <v>107</v>
      </c>
      <c r="G1496" s="14" t="s">
        <v>225</v>
      </c>
      <c r="H1496" s="0" t="n">
        <f aca="false">'02 SIZE_RUN'!O41</f>
        <v>49</v>
      </c>
    </row>
    <row r="1497" customFormat="false" ht="18" hidden="false" customHeight="true" outlineLevel="0" collapsed="false">
      <c r="A1497" s="14" t="s">
        <v>226</v>
      </c>
      <c r="B1497" s="0" t="n">
        <f aca="false">'02 SIZE_RUN'!P41</f>
        <v>130</v>
      </c>
      <c r="C1497" s="14" t="s">
        <v>227</v>
      </c>
      <c r="D1497" s="0" t="n">
        <f aca="false">'02 SIZE_RUN'!Q41</f>
        <v>62</v>
      </c>
      <c r="E1497" s="14" t="s">
        <v>228</v>
      </c>
      <c r="F1497" s="0" t="n">
        <f aca="false">'02 SIZE_RUN'!R41</f>
        <v>71</v>
      </c>
      <c r="G1497" s="14" t="s">
        <v>229</v>
      </c>
      <c r="H1497" s="0" t="n">
        <f aca="false">'02 SIZE_RUN'!S41</f>
        <v>52</v>
      </c>
    </row>
    <row r="1498" customFormat="false" ht="18" hidden="false" customHeight="true" outlineLevel="0" collapsed="false">
      <c r="A1498" s="14" t="s">
        <v>230</v>
      </c>
      <c r="B1498" s="0" t="n">
        <f aca="false">'02 SIZE_RUN'!T41</f>
        <v>36</v>
      </c>
      <c r="C1498" s="14" t="s">
        <v>231</v>
      </c>
      <c r="D1498" s="0" t="n">
        <f aca="false">'02 SIZE_RUN'!U41</f>
        <v>0</v>
      </c>
      <c r="E1498" s="14" t="s">
        <v>232</v>
      </c>
      <c r="F1498" s="0" t="n">
        <f aca="false">'02 SIZE_RUN'!V41</f>
        <v>29</v>
      </c>
      <c r="G1498" s="14" t="s">
        <v>233</v>
      </c>
      <c r="H1498" s="0" t="n">
        <f aca="false">'02 SIZE_RUN'!W41</f>
        <v>0</v>
      </c>
    </row>
    <row r="1499" customFormat="false" ht="18" hidden="false" customHeight="true" outlineLevel="0" collapsed="false">
      <c r="A1499" s="14" t="s">
        <v>234</v>
      </c>
      <c r="B1499" s="0" t="n">
        <f aca="false">'02 SIZE_RUN'!X41</f>
        <v>0</v>
      </c>
      <c r="C1499" s="14" t="s">
        <v>235</v>
      </c>
      <c r="D1499" s="0" t="n">
        <f aca="false">'02 SIZE_RUN'!Y41</f>
        <v>0</v>
      </c>
      <c r="E1499" s="14" t="s">
        <v>236</v>
      </c>
      <c r="F1499" s="0" t="n">
        <f aca="false">'02 SIZE_RUN'!Z41</f>
        <v>0</v>
      </c>
      <c r="G1499" s="14" t="s">
        <v>237</v>
      </c>
      <c r="H1499" s="0" t="n">
        <f aca="false">'02 SIZE_RUN'!AA41</f>
        <v>0</v>
      </c>
    </row>
    <row r="1500" customFormat="false" ht="18" hidden="false" customHeight="true" outlineLevel="0" collapsed="false">
      <c r="A1500" s="14" t="s">
        <v>238</v>
      </c>
      <c r="B1500" s="0" t="n">
        <f aca="false">'02 SIZE_RUN'!AB41</f>
        <v>0</v>
      </c>
      <c r="C1500" s="14" t="s">
        <v>239</v>
      </c>
      <c r="D1500" s="0" t="n">
        <f aca="false">'02 SIZE_RUN'!AC41</f>
        <v>0</v>
      </c>
      <c r="E1500" s="14" t="s">
        <v>240</v>
      </c>
      <c r="F1500" s="0" t="n">
        <f aca="false">'02 SIZE_RUN'!AD41</f>
        <v>0</v>
      </c>
      <c r="G1500" s="14" t="s">
        <v>241</v>
      </c>
      <c r="H1500" s="0" t="n">
        <f aca="false">'02 SIZE_RUN'!AE41</f>
        <v>0</v>
      </c>
    </row>
    <row r="1501" customFormat="false" ht="18" hidden="false" customHeight="true" outlineLevel="0" collapsed="false">
      <c r="A1501" s="14" t="s">
        <v>242</v>
      </c>
      <c r="B1501" s="0" t="n">
        <f aca="false">'02 SIZE_RUN'!AF41</f>
        <v>0</v>
      </c>
    </row>
    <row r="1502" customFormat="false" ht="18" hidden="false" customHeight="true" outlineLevel="0" collapsed="false">
      <c r="A1502" s="10" t="str">
        <f aca="false">"TOTAL SIZE: "&amp;'02 SIZE_RUN'!AG41&amp;" | SELISIH: "&amp;'02 SIZE_RUN'!AH41</f>
        <v>TOTAL SIZE: 650 | SELISIH: 0</v>
      </c>
      <c r="B1502" s="10"/>
      <c r="C1502" s="10"/>
      <c r="D1502" s="10"/>
      <c r="E1502" s="10"/>
      <c r="F1502" s="10"/>
      <c r="G1502" s="10"/>
      <c r="H1502" s="10"/>
    </row>
    <row r="1503" customFormat="false" ht="18" hidden="false" customHeight="true" outlineLevel="0" collapsed="false">
      <c r="A1503" s="10" t="s">
        <v>255</v>
      </c>
      <c r="B1503" s="10"/>
      <c r="C1503" s="10"/>
      <c r="D1503" s="13" t="str">
        <f aca="false">IF('01 ADMIN_ORDER'!P41="","BELUM DITETAPKAN",TEXT('01 ADMIN_ORDER'!P41,"dd mmm yyyy"))</f>
        <v>BELUM DITETAPKAN</v>
      </c>
      <c r="E1503" s="13"/>
      <c r="F1503" s="13"/>
      <c r="G1503" s="13"/>
      <c r="H1503" s="13"/>
    </row>
    <row r="1504" customFormat="false" ht="18" hidden="false" customHeight="true" outlineLevel="0" collapsed="false">
      <c r="A1504" s="10" t="s">
        <v>256</v>
      </c>
      <c r="B1504" s="10"/>
      <c r="C1504" s="10"/>
      <c r="D1504" s="13" t="str">
        <f aca="false">IF('01 ADMIN_ORDER'!Q41="","BELUM DITETAPKAN",TEXT('01 ADMIN_ORDER'!Q41,"dd mmm yyyy"))</f>
        <v>BELUM DITETAPKAN</v>
      </c>
      <c r="E1504" s="13"/>
      <c r="F1504" s="13"/>
      <c r="G1504" s="13"/>
      <c r="H1504" s="13"/>
    </row>
    <row r="1505" customFormat="false" ht="25.5" hidden="false" customHeight="true" outlineLevel="0" collapsed="false">
      <c r="A1505" s="12" t="str">
        <f aca="false">"REFERENSI ASSEMBLY (bukan target upper): "&amp;TEXT('01 ADMIN_ORDER'!M41,"dd mmm yyyy")&amp;" - "&amp;TEXT('01 ADMIN_ORDER'!N41,"dd mmm yyyy")</f>
        <v>REFERENSI ASSEMBLY (bukan target upper): 02 Oct 2026 - 05 Oct 2026</v>
      </c>
      <c r="B1505" s="12"/>
      <c r="C1505" s="12"/>
      <c r="D1505" s="12"/>
      <c r="E1505" s="12"/>
      <c r="F1505" s="12"/>
      <c r="G1505" s="12"/>
      <c r="H1505" s="12"/>
    </row>
    <row r="1506" customFormat="false" ht="18" hidden="false" customHeight="true" outlineLevel="0" collapsed="false">
      <c r="A1506" s="10" t="s">
        <v>257</v>
      </c>
      <c r="B1506" s="10"/>
      <c r="C1506" s="10"/>
      <c r="D1506" s="13" t="str">
        <f aca="false">IF('04 KESIAPAN'!G41="","BELUM DIISI",'04 KESIAPAN'!G41)</f>
        <v>BELUM DIISI</v>
      </c>
      <c r="E1506" s="13"/>
      <c r="F1506" s="13"/>
      <c r="G1506" s="13"/>
      <c r="H1506" s="13"/>
    </row>
    <row r="1507" customFormat="false" ht="18" hidden="false" customHeight="true" outlineLevel="0" collapsed="false">
      <c r="A1507" s="10" t="s">
        <v>258</v>
      </c>
      <c r="B1507" s="10"/>
      <c r="C1507" s="10"/>
      <c r="D1507" s="13" t="str">
        <f aca="false">IF('04 KESIAPAN'!H41="","BELUM DIISI",'04 KESIAPAN'!H41)</f>
        <v>BELUM DIISI</v>
      </c>
      <c r="E1507" s="13"/>
      <c r="F1507" s="13"/>
      <c r="G1507" s="13"/>
      <c r="H1507" s="13"/>
    </row>
    <row r="1508" customFormat="false" ht="18" hidden="false" customHeight="true" outlineLevel="0" collapsed="false">
      <c r="A1508" s="10" t="s">
        <v>259</v>
      </c>
      <c r="B1508" s="10"/>
      <c r="C1508" s="10"/>
      <c r="D1508" s="13" t="str">
        <f aca="false">IF('04 KESIAPAN'!I41="","BELUM DIISI",'04 KESIAPAN'!I41)</f>
        <v>BELUM DIISI</v>
      </c>
      <c r="E1508" s="13"/>
      <c r="F1508" s="13"/>
      <c r="G1508" s="13"/>
      <c r="H1508" s="13"/>
    </row>
    <row r="1509" customFormat="false" ht="18" hidden="false" customHeight="true" outlineLevel="0" collapsed="false">
      <c r="A1509" s="10" t="s">
        <v>260</v>
      </c>
      <c r="B1509" s="10"/>
      <c r="C1509" s="10"/>
      <c r="D1509" s="13" t="str">
        <f aca="false">IF('04 KESIAPAN'!K41="","BELUM DIISI",'04 KESIAPAN'!K41)</f>
        <v>BELUM DIISI</v>
      </c>
      <c r="E1509" s="13"/>
      <c r="F1509" s="13"/>
      <c r="G1509" s="13"/>
      <c r="H1509" s="13"/>
    </row>
    <row r="1510" customFormat="false" ht="18" hidden="false" customHeight="true" outlineLevel="0" collapsed="false">
      <c r="A1510" s="10" t="s">
        <v>261</v>
      </c>
      <c r="B1510" s="10"/>
      <c r="C1510" s="10"/>
      <c r="D1510" s="13" t="str">
        <f aca="false">IF('04 KESIAPAN'!L41="","BELUM DIISI",'04 KESIAPAN'!L41)</f>
        <v>BELUM DIISI</v>
      </c>
      <c r="E1510" s="13"/>
      <c r="F1510" s="13"/>
      <c r="G1510" s="13"/>
      <c r="H1510" s="13"/>
    </row>
    <row r="1511" customFormat="false" ht="18" hidden="false" customHeight="true" outlineLevel="0" collapsed="false">
      <c r="A1511" s="10" t="s">
        <v>262</v>
      </c>
      <c r="B1511" s="10"/>
      <c r="C1511" s="10"/>
      <c r="D1511" s="13" t="str">
        <f aca="false">IF('04 KESIAPAN'!N41="","BELUM DIISI",'04 KESIAPAN'!N41)</f>
        <v>BELUM DIISI</v>
      </c>
      <c r="E1511" s="13"/>
      <c r="F1511" s="13"/>
      <c r="G1511" s="13"/>
      <c r="H1511" s="13"/>
    </row>
    <row r="1512" customFormat="false" ht="18" hidden="false" customHeight="true" outlineLevel="0" collapsed="false">
      <c r="A1512" s="10" t="s">
        <v>263</v>
      </c>
      <c r="B1512" s="10"/>
      <c r="C1512" s="10"/>
      <c r="D1512" s="13" t="str">
        <f aca="false">IF('04 KESIAPAN'!P41="","BELUM DIISI",'04 KESIAPAN'!P41)</f>
        <v>BELUM DIISI</v>
      </c>
      <c r="E1512" s="13"/>
      <c r="F1512" s="13"/>
      <c r="G1512" s="13"/>
      <c r="H1512" s="13"/>
    </row>
    <row r="1513" customFormat="false" ht="18" hidden="false" customHeight="true" outlineLevel="0" collapsed="false">
      <c r="A1513" s="7" t="s">
        <v>264</v>
      </c>
      <c r="B1513" s="7"/>
      <c r="C1513" s="7"/>
      <c r="D1513" s="7"/>
      <c r="E1513" s="7"/>
      <c r="F1513" s="7"/>
      <c r="G1513" s="7"/>
      <c r="H1513" s="7"/>
    </row>
    <row r="1514" customFormat="false" ht="18" hidden="false" customHeight="true" outlineLevel="0" collapsed="false">
      <c r="A1514" s="13"/>
      <c r="B1514" s="13"/>
      <c r="C1514" s="13"/>
      <c r="D1514" s="13"/>
      <c r="E1514" s="13"/>
      <c r="F1514" s="13"/>
      <c r="G1514" s="13"/>
      <c r="H1514" s="13"/>
    </row>
    <row r="1515" customFormat="false" ht="18" hidden="false" customHeight="true" outlineLevel="0" collapsed="false">
      <c r="A1515" s="13"/>
      <c r="B1515" s="13"/>
      <c r="C1515" s="13"/>
      <c r="D1515" s="13"/>
      <c r="E1515" s="13"/>
      <c r="F1515" s="13"/>
      <c r="G1515" s="13"/>
      <c r="H1515" s="13"/>
    </row>
    <row r="1516" customFormat="false" ht="18" hidden="false" customHeight="true" outlineLevel="0" collapsed="false">
      <c r="A1516" s="13"/>
      <c r="B1516" s="13"/>
      <c r="C1516" s="13"/>
      <c r="D1516" s="13"/>
      <c r="E1516" s="13"/>
      <c r="F1516" s="13"/>
      <c r="G1516" s="13"/>
      <c r="H1516" s="13"/>
    </row>
    <row r="1517" customFormat="false" ht="18" hidden="false" customHeight="true" outlineLevel="0" collapsed="false">
      <c r="A1517" s="12" t="s">
        <v>265</v>
      </c>
      <c r="B1517" s="12"/>
      <c r="C1517" s="12"/>
      <c r="D1517" s="12"/>
      <c r="E1517" s="12" t="s">
        <v>266</v>
      </c>
      <c r="F1517" s="12"/>
      <c r="G1517" s="12"/>
      <c r="H1517" s="12"/>
    </row>
    <row r="1518" customFormat="false" ht="18" hidden="false" customHeight="true" outlineLevel="0" collapsed="false">
      <c r="A1518" s="12" t="s">
        <v>306</v>
      </c>
      <c r="B1518" s="12"/>
      <c r="C1518" s="12"/>
      <c r="D1518" s="12"/>
      <c r="E1518" s="12"/>
      <c r="F1518" s="12"/>
      <c r="G1518" s="12"/>
      <c r="H1518" s="12"/>
    </row>
    <row r="1519" customFormat="false" ht="18" hidden="false" customHeight="true" outlineLevel="0" collapsed="false"/>
    <row r="1520" customFormat="false" ht="18" hidden="false" customHeight="true" outlineLevel="0" collapsed="false"/>
    <row r="1521" customFormat="false" ht="25.5" hidden="false" customHeight="true" outlineLevel="0" collapsed="false">
      <c r="A1521" s="7" t="s">
        <v>246</v>
      </c>
      <c r="B1521" s="7"/>
      <c r="C1521" s="7"/>
      <c r="D1521" s="7"/>
      <c r="E1521" s="7"/>
      <c r="F1521" s="7"/>
      <c r="G1521" s="7"/>
      <c r="H1521" s="7"/>
    </row>
    <row r="1522" customFormat="false" ht="18" hidden="false" customHeight="true" outlineLevel="0" collapsed="false">
      <c r="A1522" s="8" t="str">
        <f aca="false">'01 ADMIN_ORDER'!R42</f>
        <v>DRAFT - PERLU VERIFIKASI</v>
      </c>
      <c r="B1522" s="8"/>
      <c r="C1522" s="8"/>
      <c r="D1522" s="8"/>
      <c r="E1522" s="8"/>
      <c r="F1522" s="8"/>
      <c r="G1522" s="8"/>
      <c r="H1522" s="8"/>
    </row>
    <row r="1523" customFormat="false" ht="18" hidden="false" customHeight="true" outlineLevel="0" collapsed="false">
      <c r="A1523" s="9" t="s">
        <v>247</v>
      </c>
      <c r="B1523" s="9"/>
      <c r="C1523" s="9"/>
      <c r="D1523" s="9"/>
      <c r="E1523" s="9"/>
      <c r="F1523" s="9"/>
      <c r="G1523" s="9"/>
      <c r="H1523" s="9"/>
    </row>
    <row r="1524" customFormat="false" ht="18" hidden="false" customHeight="true" outlineLevel="0" collapsed="false">
      <c r="A1524" s="10" t="s">
        <v>248</v>
      </c>
      <c r="B1524" s="10"/>
      <c r="C1524" s="11" t="str">
        <f aca="false">'01 ADMIN_ORDER'!A42</f>
        <v>177/10/41 (59)</v>
      </c>
      <c r="D1524" s="11"/>
      <c r="E1524" s="11"/>
      <c r="F1524" s="11"/>
      <c r="G1524" s="11"/>
      <c r="H1524" s="11"/>
    </row>
    <row r="1525" customFormat="false" ht="18" hidden="false" customHeight="true" outlineLevel="0" collapsed="false">
      <c r="A1525" s="10" t="s">
        <v>249</v>
      </c>
      <c r="B1525" s="10"/>
      <c r="C1525" s="12" t="str">
        <f aca="false">'01 ADMIN_ORDER'!C42&amp;" / "&amp;'01 ADMIN_ORDER'!D42</f>
        <v>FRONTCOURT LOW / LA6607</v>
      </c>
      <c r="D1525" s="12"/>
      <c r="E1525" s="12"/>
      <c r="F1525" s="12"/>
      <c r="G1525" s="12"/>
      <c r="H1525" s="12"/>
    </row>
    <row r="1526" customFormat="false" ht="18" hidden="false" customHeight="true" outlineLevel="0" collapsed="false">
      <c r="A1526" s="10" t="s">
        <v>250</v>
      </c>
      <c r="B1526" s="10"/>
      <c r="C1526" s="12" t="str">
        <f aca="false">'01 ADMIN_ORDER'!E42</f>
        <v>903410013</v>
      </c>
      <c r="D1526" s="12"/>
      <c r="E1526" s="12"/>
      <c r="F1526" s="12"/>
      <c r="G1526" s="12"/>
      <c r="H1526" s="12"/>
    </row>
    <row r="1527" customFormat="false" ht="27.75" hidden="false" customHeight="true" outlineLevel="0" collapsed="false">
      <c r="A1527" s="10" t="s">
        <v>251</v>
      </c>
      <c r="B1527" s="10"/>
      <c r="C1527" s="12" t="str">
        <f aca="false">'01 ADMIN_ORDER'!H42</f>
        <v>FTWR WHITE/FTWR WHITE/GREY TWO</v>
      </c>
      <c r="D1527" s="12"/>
      <c r="E1527" s="12"/>
      <c r="F1527" s="12"/>
      <c r="G1527" s="12"/>
      <c r="H1527" s="12"/>
    </row>
    <row r="1528" customFormat="false" ht="18" hidden="false" customHeight="true" outlineLevel="0" collapsed="false">
      <c r="A1528" s="10" t="s">
        <v>252</v>
      </c>
      <c r="B1528" s="10"/>
      <c r="C1528" s="12" t="str">
        <f aca="false">'01 ADMIN_ORDER'!B42&amp;" / "&amp;'01 ADMIN_ORDER'!G42</f>
        <v>B-19 / Peru</v>
      </c>
      <c r="D1528" s="12"/>
      <c r="E1528" s="12"/>
      <c r="F1528" s="12"/>
      <c r="G1528" s="12"/>
      <c r="H1528" s="12"/>
    </row>
    <row r="1529" customFormat="false" ht="18" hidden="false" customHeight="true" outlineLevel="0" collapsed="false">
      <c r="A1529" s="10" t="s">
        <v>253</v>
      </c>
      <c r="B1529" s="10"/>
      <c r="C1529" s="13" t="str">
        <f aca="false">'01 ADMIN_ORDER'!I42&amp;" / "&amp;IF('04 KESIAPAN'!B42="","UOM BELUM DIISI",'04 KESIAPAN'!B42)</f>
        <v>300 / UOM BELUM DIISI</v>
      </c>
      <c r="D1529" s="13"/>
      <c r="E1529" s="13"/>
      <c r="F1529" s="13"/>
      <c r="G1529" s="13"/>
      <c r="H1529" s="13"/>
    </row>
    <row r="1530" customFormat="false" ht="18" hidden="false" customHeight="true" outlineLevel="0" collapsed="false">
      <c r="A1530" s="13" t="str">
        <f aca="false">IF('04 KESIAPAN'!C42="","SISTEM UKURAN BELUM DIISI",'04 KESIAPAN'!C42)&amp;" | Tanda -: "&amp;IF('04 KESIAPAN'!D42="","BELUM DIKONFIRMASI",'04 KESIAPAN'!D42)</f>
        <v>SISTEM UKURAN BELUM DIISI | Tanda -: BELUM DIKONFIRMASI</v>
      </c>
      <c r="B1530" s="13"/>
      <c r="C1530" s="13"/>
      <c r="D1530" s="13"/>
      <c r="E1530" s="13"/>
      <c r="F1530" s="13"/>
      <c r="G1530" s="13"/>
      <c r="H1530" s="13"/>
    </row>
    <row r="1531" customFormat="false" ht="18" hidden="false" customHeight="true" outlineLevel="0" collapsed="false">
      <c r="A1531" s="7" t="s">
        <v>254</v>
      </c>
      <c r="B1531" s="7"/>
      <c r="C1531" s="7"/>
      <c r="D1531" s="7"/>
      <c r="E1531" s="7"/>
      <c r="F1531" s="7"/>
      <c r="G1531" s="7"/>
      <c r="H1531" s="7"/>
    </row>
    <row r="1532" customFormat="false" ht="18" hidden="false" customHeight="true" outlineLevel="0" collapsed="false">
      <c r="A1532" s="14" t="s">
        <v>214</v>
      </c>
      <c r="B1532" s="0" t="n">
        <f aca="false">'02 SIZE_RUN'!D42</f>
        <v>0</v>
      </c>
      <c r="C1532" s="14" t="s">
        <v>215</v>
      </c>
      <c r="D1532" s="0" t="n">
        <f aca="false">'02 SIZE_RUN'!E42</f>
        <v>0</v>
      </c>
      <c r="E1532" s="14" t="s">
        <v>216</v>
      </c>
      <c r="F1532" s="0" t="n">
        <f aca="false">'02 SIZE_RUN'!F42</f>
        <v>0</v>
      </c>
      <c r="G1532" s="14" t="s">
        <v>217</v>
      </c>
      <c r="H1532" s="0" t="n">
        <f aca="false">'02 SIZE_RUN'!G42</f>
        <v>0</v>
      </c>
    </row>
    <row r="1533" customFormat="false" ht="18" hidden="false" customHeight="true" outlineLevel="0" collapsed="false">
      <c r="A1533" s="14" t="s">
        <v>218</v>
      </c>
      <c r="B1533" s="0" t="n">
        <f aca="false">'02 SIZE_RUN'!H42</f>
        <v>0</v>
      </c>
      <c r="C1533" s="14" t="s">
        <v>219</v>
      </c>
      <c r="D1533" s="0" t="n">
        <f aca="false">'02 SIZE_RUN'!I42</f>
        <v>0</v>
      </c>
      <c r="E1533" s="14" t="s">
        <v>220</v>
      </c>
      <c r="F1533" s="0" t="n">
        <f aca="false">'02 SIZE_RUN'!J42</f>
        <v>0</v>
      </c>
      <c r="G1533" s="14" t="s">
        <v>221</v>
      </c>
      <c r="H1533" s="0" t="n">
        <f aca="false">'02 SIZE_RUN'!K42</f>
        <v>13</v>
      </c>
    </row>
    <row r="1534" customFormat="false" ht="18" hidden="false" customHeight="true" outlineLevel="0" collapsed="false">
      <c r="A1534" s="14" t="s">
        <v>222</v>
      </c>
      <c r="B1534" s="0" t="n">
        <f aca="false">'02 SIZE_RUN'!L42</f>
        <v>33</v>
      </c>
      <c r="C1534" s="14" t="s">
        <v>223</v>
      </c>
      <c r="D1534" s="0" t="n">
        <f aca="false">'02 SIZE_RUN'!M42</f>
        <v>51</v>
      </c>
      <c r="E1534" s="14" t="s">
        <v>224</v>
      </c>
      <c r="F1534" s="0" t="n">
        <f aca="false">'02 SIZE_RUN'!N42</f>
        <v>53</v>
      </c>
      <c r="G1534" s="14" t="s">
        <v>225</v>
      </c>
      <c r="H1534" s="0" t="n">
        <f aca="false">'02 SIZE_RUN'!O42</f>
        <v>48</v>
      </c>
    </row>
    <row r="1535" customFormat="false" ht="18" hidden="false" customHeight="true" outlineLevel="0" collapsed="false">
      <c r="A1535" s="14" t="s">
        <v>226</v>
      </c>
      <c r="B1535" s="0" t="n">
        <f aca="false">'02 SIZE_RUN'!P42</f>
        <v>39</v>
      </c>
      <c r="C1535" s="14" t="s">
        <v>227</v>
      </c>
      <c r="D1535" s="0" t="n">
        <f aca="false">'02 SIZE_RUN'!Q42</f>
        <v>36</v>
      </c>
      <c r="E1535" s="14" t="s">
        <v>228</v>
      </c>
      <c r="F1535" s="0" t="n">
        <f aca="false">'02 SIZE_RUN'!R42</f>
        <v>16</v>
      </c>
      <c r="G1535" s="14" t="s">
        <v>229</v>
      </c>
      <c r="H1535" s="0" t="n">
        <f aca="false">'02 SIZE_RUN'!S42</f>
        <v>5</v>
      </c>
    </row>
    <row r="1536" customFormat="false" ht="18" hidden="false" customHeight="true" outlineLevel="0" collapsed="false">
      <c r="A1536" s="14" t="s">
        <v>230</v>
      </c>
      <c r="B1536" s="0" t="n">
        <f aca="false">'02 SIZE_RUN'!T42</f>
        <v>3</v>
      </c>
      <c r="C1536" s="14" t="s">
        <v>231</v>
      </c>
      <c r="D1536" s="0" t="n">
        <f aca="false">'02 SIZE_RUN'!U42</f>
        <v>3</v>
      </c>
      <c r="E1536" s="14" t="s">
        <v>232</v>
      </c>
      <c r="F1536" s="0" t="n">
        <f aca="false">'02 SIZE_RUN'!V42</f>
        <v>0</v>
      </c>
      <c r="G1536" s="14" t="s">
        <v>233</v>
      </c>
      <c r="H1536" s="0" t="n">
        <f aca="false">'02 SIZE_RUN'!W42</f>
        <v>0</v>
      </c>
    </row>
    <row r="1537" customFormat="false" ht="18" hidden="false" customHeight="true" outlineLevel="0" collapsed="false">
      <c r="A1537" s="14" t="s">
        <v>234</v>
      </c>
      <c r="B1537" s="0" t="n">
        <f aca="false">'02 SIZE_RUN'!X42</f>
        <v>0</v>
      </c>
      <c r="C1537" s="14" t="s">
        <v>235</v>
      </c>
      <c r="D1537" s="0" t="n">
        <f aca="false">'02 SIZE_RUN'!Y42</f>
        <v>0</v>
      </c>
      <c r="E1537" s="14" t="s">
        <v>236</v>
      </c>
      <c r="F1537" s="0" t="n">
        <f aca="false">'02 SIZE_RUN'!Z42</f>
        <v>0</v>
      </c>
      <c r="G1537" s="14" t="s">
        <v>237</v>
      </c>
      <c r="H1537" s="0" t="n">
        <f aca="false">'02 SIZE_RUN'!AA42</f>
        <v>0</v>
      </c>
    </row>
    <row r="1538" customFormat="false" ht="18" hidden="false" customHeight="true" outlineLevel="0" collapsed="false">
      <c r="A1538" s="14" t="s">
        <v>238</v>
      </c>
      <c r="B1538" s="0" t="n">
        <f aca="false">'02 SIZE_RUN'!AB42</f>
        <v>0</v>
      </c>
      <c r="C1538" s="14" t="s">
        <v>239</v>
      </c>
      <c r="D1538" s="0" t="n">
        <f aca="false">'02 SIZE_RUN'!AC42</f>
        <v>0</v>
      </c>
      <c r="E1538" s="14" t="s">
        <v>240</v>
      </c>
      <c r="F1538" s="0" t="n">
        <f aca="false">'02 SIZE_RUN'!AD42</f>
        <v>0</v>
      </c>
      <c r="G1538" s="14" t="s">
        <v>241</v>
      </c>
      <c r="H1538" s="0" t="n">
        <f aca="false">'02 SIZE_RUN'!AE42</f>
        <v>0</v>
      </c>
    </row>
    <row r="1539" customFormat="false" ht="18" hidden="false" customHeight="true" outlineLevel="0" collapsed="false">
      <c r="A1539" s="14" t="s">
        <v>242</v>
      </c>
      <c r="B1539" s="0" t="n">
        <f aca="false">'02 SIZE_RUN'!AF42</f>
        <v>0</v>
      </c>
    </row>
    <row r="1540" customFormat="false" ht="18" hidden="false" customHeight="true" outlineLevel="0" collapsed="false">
      <c r="A1540" s="10" t="str">
        <f aca="false">"TOTAL SIZE: "&amp;'02 SIZE_RUN'!AG42&amp;" | SELISIH: "&amp;'02 SIZE_RUN'!AH42</f>
        <v>TOTAL SIZE: 300 | SELISIH: 0</v>
      </c>
      <c r="B1540" s="10"/>
      <c r="C1540" s="10"/>
      <c r="D1540" s="10"/>
      <c r="E1540" s="10"/>
      <c r="F1540" s="10"/>
      <c r="G1540" s="10"/>
      <c r="H1540" s="10"/>
    </row>
    <row r="1541" customFormat="false" ht="18" hidden="false" customHeight="true" outlineLevel="0" collapsed="false">
      <c r="A1541" s="10" t="s">
        <v>255</v>
      </c>
      <c r="B1541" s="10"/>
      <c r="C1541" s="10"/>
      <c r="D1541" s="13" t="str">
        <f aca="false">IF('01 ADMIN_ORDER'!P42="","BELUM DITETAPKAN",TEXT('01 ADMIN_ORDER'!P42,"dd mmm yyyy"))</f>
        <v>BELUM DITETAPKAN</v>
      </c>
      <c r="E1541" s="13"/>
      <c r="F1541" s="13"/>
      <c r="G1541" s="13"/>
      <c r="H1541" s="13"/>
    </row>
    <row r="1542" customFormat="false" ht="18" hidden="false" customHeight="true" outlineLevel="0" collapsed="false">
      <c r="A1542" s="10" t="s">
        <v>256</v>
      </c>
      <c r="B1542" s="10"/>
      <c r="C1542" s="10"/>
      <c r="D1542" s="13" t="str">
        <f aca="false">IF('01 ADMIN_ORDER'!Q42="","BELUM DITETAPKAN",TEXT('01 ADMIN_ORDER'!Q42,"dd mmm yyyy"))</f>
        <v>BELUM DITETAPKAN</v>
      </c>
      <c r="E1542" s="13"/>
      <c r="F1542" s="13"/>
      <c r="G1542" s="13"/>
      <c r="H1542" s="13"/>
    </row>
    <row r="1543" customFormat="false" ht="25.5" hidden="false" customHeight="true" outlineLevel="0" collapsed="false">
      <c r="A1543" s="12" t="str">
        <f aca="false">"REFERENSI ASSEMBLY (bukan target upper): "&amp;TEXT('01 ADMIN_ORDER'!M42,"dd mmm yyyy")&amp;" - "&amp;TEXT('01 ADMIN_ORDER'!N42,"dd mmm yyyy")</f>
        <v>REFERENSI ASSEMBLY (bukan target upper): 05 Oct 2026 - 05 Oct 2026</v>
      </c>
      <c r="B1543" s="12"/>
      <c r="C1543" s="12"/>
      <c r="D1543" s="12"/>
      <c r="E1543" s="12"/>
      <c r="F1543" s="12"/>
      <c r="G1543" s="12"/>
      <c r="H1543" s="12"/>
    </row>
    <row r="1544" customFormat="false" ht="18" hidden="false" customHeight="true" outlineLevel="0" collapsed="false">
      <c r="A1544" s="10" t="s">
        <v>257</v>
      </c>
      <c r="B1544" s="10"/>
      <c r="C1544" s="10"/>
      <c r="D1544" s="13" t="str">
        <f aca="false">IF('04 KESIAPAN'!G42="","BELUM DIISI",'04 KESIAPAN'!G42)</f>
        <v>BELUM DIISI</v>
      </c>
      <c r="E1544" s="13"/>
      <c r="F1544" s="13"/>
      <c r="G1544" s="13"/>
      <c r="H1544" s="13"/>
    </row>
    <row r="1545" customFormat="false" ht="18" hidden="false" customHeight="true" outlineLevel="0" collapsed="false">
      <c r="A1545" s="10" t="s">
        <v>258</v>
      </c>
      <c r="B1545" s="10"/>
      <c r="C1545" s="10"/>
      <c r="D1545" s="13" t="str">
        <f aca="false">IF('04 KESIAPAN'!H42="","BELUM DIISI",'04 KESIAPAN'!H42)</f>
        <v>BELUM DIISI</v>
      </c>
      <c r="E1545" s="13"/>
      <c r="F1545" s="13"/>
      <c r="G1545" s="13"/>
      <c r="H1545" s="13"/>
    </row>
    <row r="1546" customFormat="false" ht="18" hidden="false" customHeight="true" outlineLevel="0" collapsed="false">
      <c r="A1546" s="10" t="s">
        <v>259</v>
      </c>
      <c r="B1546" s="10"/>
      <c r="C1546" s="10"/>
      <c r="D1546" s="13" t="str">
        <f aca="false">IF('04 KESIAPAN'!I42="","BELUM DIISI",'04 KESIAPAN'!I42)</f>
        <v>BELUM DIISI</v>
      </c>
      <c r="E1546" s="13"/>
      <c r="F1546" s="13"/>
      <c r="G1546" s="13"/>
      <c r="H1546" s="13"/>
    </row>
    <row r="1547" customFormat="false" ht="18" hidden="false" customHeight="true" outlineLevel="0" collapsed="false">
      <c r="A1547" s="10" t="s">
        <v>260</v>
      </c>
      <c r="B1547" s="10"/>
      <c r="C1547" s="10"/>
      <c r="D1547" s="13" t="str">
        <f aca="false">IF('04 KESIAPAN'!K42="","BELUM DIISI",'04 KESIAPAN'!K42)</f>
        <v>BELUM DIISI</v>
      </c>
      <c r="E1547" s="13"/>
      <c r="F1547" s="13"/>
      <c r="G1547" s="13"/>
      <c r="H1547" s="13"/>
    </row>
    <row r="1548" customFormat="false" ht="18" hidden="false" customHeight="true" outlineLevel="0" collapsed="false">
      <c r="A1548" s="10" t="s">
        <v>261</v>
      </c>
      <c r="B1548" s="10"/>
      <c r="C1548" s="10"/>
      <c r="D1548" s="13" t="str">
        <f aca="false">IF('04 KESIAPAN'!L42="","BELUM DIISI",'04 KESIAPAN'!L42)</f>
        <v>BELUM DIISI</v>
      </c>
      <c r="E1548" s="13"/>
      <c r="F1548" s="13"/>
      <c r="G1548" s="13"/>
      <c r="H1548" s="13"/>
    </row>
    <row r="1549" customFormat="false" ht="18" hidden="false" customHeight="true" outlineLevel="0" collapsed="false">
      <c r="A1549" s="10" t="s">
        <v>262</v>
      </c>
      <c r="B1549" s="10"/>
      <c r="C1549" s="10"/>
      <c r="D1549" s="13" t="str">
        <f aca="false">IF('04 KESIAPAN'!N42="","BELUM DIISI",'04 KESIAPAN'!N42)</f>
        <v>BELUM DIISI</v>
      </c>
      <c r="E1549" s="13"/>
      <c r="F1549" s="13"/>
      <c r="G1549" s="13"/>
      <c r="H1549" s="13"/>
    </row>
    <row r="1550" customFormat="false" ht="18" hidden="false" customHeight="true" outlineLevel="0" collapsed="false">
      <c r="A1550" s="10" t="s">
        <v>263</v>
      </c>
      <c r="B1550" s="10"/>
      <c r="C1550" s="10"/>
      <c r="D1550" s="13" t="str">
        <f aca="false">IF('04 KESIAPAN'!P42="","BELUM DIISI",'04 KESIAPAN'!P42)</f>
        <v>BELUM DIISI</v>
      </c>
      <c r="E1550" s="13"/>
      <c r="F1550" s="13"/>
      <c r="G1550" s="13"/>
      <c r="H1550" s="13"/>
    </row>
    <row r="1551" customFormat="false" ht="18" hidden="false" customHeight="true" outlineLevel="0" collapsed="false">
      <c r="A1551" s="7" t="s">
        <v>264</v>
      </c>
      <c r="B1551" s="7"/>
      <c r="C1551" s="7"/>
      <c r="D1551" s="7"/>
      <c r="E1551" s="7"/>
      <c r="F1551" s="7"/>
      <c r="G1551" s="7"/>
      <c r="H1551" s="7"/>
    </row>
    <row r="1552" customFormat="false" ht="18" hidden="false" customHeight="true" outlineLevel="0" collapsed="false">
      <c r="A1552" s="13"/>
      <c r="B1552" s="13"/>
      <c r="C1552" s="13"/>
      <c r="D1552" s="13"/>
      <c r="E1552" s="13"/>
      <c r="F1552" s="13"/>
      <c r="G1552" s="13"/>
      <c r="H1552" s="13"/>
    </row>
    <row r="1553" customFormat="false" ht="18" hidden="false" customHeight="true" outlineLevel="0" collapsed="false">
      <c r="A1553" s="13"/>
      <c r="B1553" s="13"/>
      <c r="C1553" s="13"/>
      <c r="D1553" s="13"/>
      <c r="E1553" s="13"/>
      <c r="F1553" s="13"/>
      <c r="G1553" s="13"/>
      <c r="H1553" s="13"/>
    </row>
    <row r="1554" customFormat="false" ht="18" hidden="false" customHeight="true" outlineLevel="0" collapsed="false">
      <c r="A1554" s="13"/>
      <c r="B1554" s="13"/>
      <c r="C1554" s="13"/>
      <c r="D1554" s="13"/>
      <c r="E1554" s="13"/>
      <c r="F1554" s="13"/>
      <c r="G1554" s="13"/>
      <c r="H1554" s="13"/>
    </row>
    <row r="1555" customFormat="false" ht="18" hidden="false" customHeight="true" outlineLevel="0" collapsed="false">
      <c r="A1555" s="12" t="s">
        <v>265</v>
      </c>
      <c r="B1555" s="12"/>
      <c r="C1555" s="12"/>
      <c r="D1555" s="12"/>
      <c r="E1555" s="12" t="s">
        <v>266</v>
      </c>
      <c r="F1555" s="12"/>
      <c r="G1555" s="12"/>
      <c r="H1555" s="12"/>
    </row>
    <row r="1556" customFormat="false" ht="18" hidden="false" customHeight="true" outlineLevel="0" collapsed="false">
      <c r="A1556" s="12" t="s">
        <v>307</v>
      </c>
      <c r="B1556" s="12"/>
      <c r="C1556" s="12"/>
      <c r="D1556" s="12"/>
      <c r="E1556" s="12"/>
      <c r="F1556" s="12"/>
      <c r="G1556" s="12"/>
      <c r="H1556" s="12"/>
    </row>
    <row r="1557" customFormat="false" ht="18" hidden="false" customHeight="true" outlineLevel="0" collapsed="false"/>
    <row r="1558" customFormat="false" ht="18" hidden="false" customHeight="true" outlineLevel="0" collapsed="false"/>
    <row r="1559" customFormat="false" ht="25.5" hidden="false" customHeight="true" outlineLevel="0" collapsed="false">
      <c r="A1559" s="7" t="s">
        <v>246</v>
      </c>
      <c r="B1559" s="7"/>
      <c r="C1559" s="7"/>
      <c r="D1559" s="7"/>
      <c r="E1559" s="7"/>
      <c r="F1559" s="7"/>
      <c r="G1559" s="7"/>
      <c r="H1559" s="7"/>
    </row>
    <row r="1560" customFormat="false" ht="18" hidden="false" customHeight="true" outlineLevel="0" collapsed="false">
      <c r="A1560" s="8" t="str">
        <f aca="false">'01 ADMIN_ORDER'!R43</f>
        <v>DRAFT - PERLU VERIFIKASI</v>
      </c>
      <c r="B1560" s="8"/>
      <c r="C1560" s="8"/>
      <c r="D1560" s="8"/>
      <c r="E1560" s="8"/>
      <c r="F1560" s="8"/>
      <c r="G1560" s="8"/>
      <c r="H1560" s="8"/>
    </row>
    <row r="1561" customFormat="false" ht="18" hidden="false" customHeight="true" outlineLevel="0" collapsed="false">
      <c r="A1561" s="9" t="s">
        <v>247</v>
      </c>
      <c r="B1561" s="9"/>
      <c r="C1561" s="9"/>
      <c r="D1561" s="9"/>
      <c r="E1561" s="9"/>
      <c r="F1561" s="9"/>
      <c r="G1561" s="9"/>
      <c r="H1561" s="9"/>
    </row>
    <row r="1562" customFormat="false" ht="18" hidden="false" customHeight="true" outlineLevel="0" collapsed="false">
      <c r="A1562" s="10" t="s">
        <v>248</v>
      </c>
      <c r="B1562" s="10"/>
      <c r="C1562" s="11" t="str">
        <f aca="false">'01 ADMIN_ORDER'!A43</f>
        <v>178/10/42 (59)</v>
      </c>
      <c r="D1562" s="11"/>
      <c r="E1562" s="11"/>
      <c r="F1562" s="11"/>
      <c r="G1562" s="11"/>
      <c r="H1562" s="11"/>
    </row>
    <row r="1563" customFormat="false" ht="18" hidden="false" customHeight="true" outlineLevel="0" collapsed="false">
      <c r="A1563" s="10" t="s">
        <v>249</v>
      </c>
      <c r="B1563" s="10"/>
      <c r="C1563" s="12" t="str">
        <f aca="false">'01 ADMIN_ORDER'!C43&amp;" / "&amp;'01 ADMIN_ORDER'!D43</f>
        <v>FRONTCOURT LOW / LA6614</v>
      </c>
      <c r="D1563" s="12"/>
      <c r="E1563" s="12"/>
      <c r="F1563" s="12"/>
      <c r="G1563" s="12"/>
      <c r="H1563" s="12"/>
    </row>
    <row r="1564" customFormat="false" ht="18" hidden="false" customHeight="true" outlineLevel="0" collapsed="false">
      <c r="A1564" s="10" t="s">
        <v>250</v>
      </c>
      <c r="B1564" s="10"/>
      <c r="C1564" s="12" t="str">
        <f aca="false">'01 ADMIN_ORDER'!E43</f>
        <v>903409634</v>
      </c>
      <c r="D1564" s="12"/>
      <c r="E1564" s="12"/>
      <c r="F1564" s="12"/>
      <c r="G1564" s="12"/>
      <c r="H1564" s="12"/>
    </row>
    <row r="1565" customFormat="false" ht="27.75" hidden="false" customHeight="true" outlineLevel="0" collapsed="false">
      <c r="A1565" s="10" t="s">
        <v>251</v>
      </c>
      <c r="B1565" s="10"/>
      <c r="C1565" s="12" t="str">
        <f aca="false">'01 ADMIN_ORDER'!H43</f>
        <v>CORE BLACK/FTWR WHITE/GUM M2</v>
      </c>
      <c r="D1565" s="12"/>
      <c r="E1565" s="12"/>
      <c r="F1565" s="12"/>
      <c r="G1565" s="12"/>
      <c r="H1565" s="12"/>
    </row>
    <row r="1566" customFormat="false" ht="18" hidden="false" customHeight="true" outlineLevel="0" collapsed="false">
      <c r="A1566" s="10" t="s">
        <v>252</v>
      </c>
      <c r="B1566" s="10"/>
      <c r="C1566" s="12" t="str">
        <f aca="false">'01 ADMIN_ORDER'!B43&amp;" / "&amp;'01 ADMIN_ORDER'!G43</f>
        <v>B-19 / Colombia</v>
      </c>
      <c r="D1566" s="12"/>
      <c r="E1566" s="12"/>
      <c r="F1566" s="12"/>
      <c r="G1566" s="12"/>
      <c r="H1566" s="12"/>
    </row>
    <row r="1567" customFormat="false" ht="18" hidden="false" customHeight="true" outlineLevel="0" collapsed="false">
      <c r="A1567" s="10" t="s">
        <v>253</v>
      </c>
      <c r="B1567" s="10"/>
      <c r="C1567" s="13" t="str">
        <f aca="false">'01 ADMIN_ORDER'!I43&amp;" / "&amp;IF('04 KESIAPAN'!B43="","UOM BELUM DIISI",'04 KESIAPAN'!B43)</f>
        <v>300 / UOM BELUM DIISI</v>
      </c>
      <c r="D1567" s="13"/>
      <c r="E1567" s="13"/>
      <c r="F1567" s="13"/>
      <c r="G1567" s="13"/>
      <c r="H1567" s="13"/>
    </row>
    <row r="1568" customFormat="false" ht="18" hidden="false" customHeight="true" outlineLevel="0" collapsed="false">
      <c r="A1568" s="13" t="str">
        <f aca="false">IF('04 KESIAPAN'!C43="","SISTEM UKURAN BELUM DIISI",'04 KESIAPAN'!C43)&amp;" | Tanda -: "&amp;IF('04 KESIAPAN'!D43="","BELUM DIKONFIRMASI",'04 KESIAPAN'!D43)</f>
        <v>SISTEM UKURAN BELUM DIISI | Tanda -: BELUM DIKONFIRMASI</v>
      </c>
      <c r="B1568" s="13"/>
      <c r="C1568" s="13"/>
      <c r="D1568" s="13"/>
      <c r="E1568" s="13"/>
      <c r="F1568" s="13"/>
      <c r="G1568" s="13"/>
      <c r="H1568" s="13"/>
    </row>
    <row r="1569" customFormat="false" ht="18" hidden="false" customHeight="true" outlineLevel="0" collapsed="false">
      <c r="A1569" s="7" t="s">
        <v>254</v>
      </c>
      <c r="B1569" s="7"/>
      <c r="C1569" s="7"/>
      <c r="D1569" s="7"/>
      <c r="E1569" s="7"/>
      <c r="F1569" s="7"/>
      <c r="G1569" s="7"/>
      <c r="H1569" s="7"/>
    </row>
    <row r="1570" customFormat="false" ht="18" hidden="false" customHeight="true" outlineLevel="0" collapsed="false">
      <c r="A1570" s="14" t="s">
        <v>214</v>
      </c>
      <c r="B1570" s="0" t="n">
        <f aca="false">'02 SIZE_RUN'!D43</f>
        <v>0</v>
      </c>
      <c r="C1570" s="14" t="s">
        <v>215</v>
      </c>
      <c r="D1570" s="0" t="n">
        <f aca="false">'02 SIZE_RUN'!E43</f>
        <v>0</v>
      </c>
      <c r="E1570" s="14" t="s">
        <v>216</v>
      </c>
      <c r="F1570" s="0" t="n">
        <f aca="false">'02 SIZE_RUN'!F43</f>
        <v>0</v>
      </c>
      <c r="G1570" s="14" t="s">
        <v>217</v>
      </c>
      <c r="H1570" s="0" t="n">
        <f aca="false">'02 SIZE_RUN'!G43</f>
        <v>0</v>
      </c>
    </row>
    <row r="1571" customFormat="false" ht="18" hidden="false" customHeight="true" outlineLevel="0" collapsed="false">
      <c r="A1571" s="14" t="s">
        <v>218</v>
      </c>
      <c r="B1571" s="0" t="n">
        <f aca="false">'02 SIZE_RUN'!H43</f>
        <v>0</v>
      </c>
      <c r="C1571" s="14" t="s">
        <v>219</v>
      </c>
      <c r="D1571" s="0" t="n">
        <f aca="false">'02 SIZE_RUN'!I43</f>
        <v>0</v>
      </c>
      <c r="E1571" s="14" t="s">
        <v>220</v>
      </c>
      <c r="F1571" s="0" t="n">
        <f aca="false">'02 SIZE_RUN'!J43</f>
        <v>0</v>
      </c>
      <c r="G1571" s="14" t="s">
        <v>221</v>
      </c>
      <c r="H1571" s="0" t="n">
        <f aca="false">'02 SIZE_RUN'!K43</f>
        <v>10</v>
      </c>
    </row>
    <row r="1572" customFormat="false" ht="18" hidden="false" customHeight="true" outlineLevel="0" collapsed="false">
      <c r="A1572" s="14" t="s">
        <v>222</v>
      </c>
      <c r="B1572" s="0" t="n">
        <f aca="false">'02 SIZE_RUN'!L43</f>
        <v>22</v>
      </c>
      <c r="C1572" s="14" t="s">
        <v>223</v>
      </c>
      <c r="D1572" s="0" t="n">
        <f aca="false">'02 SIZE_RUN'!M43</f>
        <v>47</v>
      </c>
      <c r="E1572" s="14" t="s">
        <v>224</v>
      </c>
      <c r="F1572" s="0" t="n">
        <f aca="false">'02 SIZE_RUN'!N43</f>
        <v>50</v>
      </c>
      <c r="G1572" s="14" t="s">
        <v>225</v>
      </c>
      <c r="H1572" s="0" t="n">
        <f aca="false">'02 SIZE_RUN'!O43</f>
        <v>51</v>
      </c>
    </row>
    <row r="1573" customFormat="false" ht="18" hidden="false" customHeight="true" outlineLevel="0" collapsed="false">
      <c r="A1573" s="14" t="s">
        <v>226</v>
      </c>
      <c r="B1573" s="0" t="n">
        <f aca="false">'02 SIZE_RUN'!P43</f>
        <v>50</v>
      </c>
      <c r="C1573" s="14" t="s">
        <v>227</v>
      </c>
      <c r="D1573" s="0" t="n">
        <f aca="false">'02 SIZE_RUN'!Q43</f>
        <v>31</v>
      </c>
      <c r="E1573" s="14" t="s">
        <v>228</v>
      </c>
      <c r="F1573" s="0" t="n">
        <f aca="false">'02 SIZE_RUN'!R43</f>
        <v>18</v>
      </c>
      <c r="G1573" s="14" t="s">
        <v>229</v>
      </c>
      <c r="H1573" s="0" t="n">
        <f aca="false">'02 SIZE_RUN'!S43</f>
        <v>16</v>
      </c>
    </row>
    <row r="1574" customFormat="false" ht="18" hidden="false" customHeight="true" outlineLevel="0" collapsed="false">
      <c r="A1574" s="14" t="s">
        <v>230</v>
      </c>
      <c r="B1574" s="0" t="n">
        <f aca="false">'02 SIZE_RUN'!T43</f>
        <v>0</v>
      </c>
      <c r="C1574" s="14" t="s">
        <v>231</v>
      </c>
      <c r="D1574" s="0" t="n">
        <f aca="false">'02 SIZE_RUN'!U43</f>
        <v>5</v>
      </c>
      <c r="E1574" s="14" t="s">
        <v>232</v>
      </c>
      <c r="F1574" s="0" t="n">
        <f aca="false">'02 SIZE_RUN'!V43</f>
        <v>0</v>
      </c>
      <c r="G1574" s="14" t="s">
        <v>233</v>
      </c>
      <c r="H1574" s="0" t="n">
        <f aca="false">'02 SIZE_RUN'!W43</f>
        <v>0</v>
      </c>
    </row>
    <row r="1575" customFormat="false" ht="18" hidden="false" customHeight="true" outlineLevel="0" collapsed="false">
      <c r="A1575" s="14" t="s">
        <v>234</v>
      </c>
      <c r="B1575" s="0" t="n">
        <f aca="false">'02 SIZE_RUN'!X43</f>
        <v>0</v>
      </c>
      <c r="C1575" s="14" t="s">
        <v>235</v>
      </c>
      <c r="D1575" s="0" t="n">
        <f aca="false">'02 SIZE_RUN'!Y43</f>
        <v>0</v>
      </c>
      <c r="E1575" s="14" t="s">
        <v>236</v>
      </c>
      <c r="F1575" s="0" t="n">
        <f aca="false">'02 SIZE_RUN'!Z43</f>
        <v>0</v>
      </c>
      <c r="G1575" s="14" t="s">
        <v>237</v>
      </c>
      <c r="H1575" s="0" t="n">
        <f aca="false">'02 SIZE_RUN'!AA43</f>
        <v>0</v>
      </c>
    </row>
    <row r="1576" customFormat="false" ht="18" hidden="false" customHeight="true" outlineLevel="0" collapsed="false">
      <c r="A1576" s="14" t="s">
        <v>238</v>
      </c>
      <c r="B1576" s="0" t="n">
        <f aca="false">'02 SIZE_RUN'!AB43</f>
        <v>0</v>
      </c>
      <c r="C1576" s="14" t="s">
        <v>239</v>
      </c>
      <c r="D1576" s="0" t="n">
        <f aca="false">'02 SIZE_RUN'!AC43</f>
        <v>0</v>
      </c>
      <c r="E1576" s="14" t="s">
        <v>240</v>
      </c>
      <c r="F1576" s="0" t="n">
        <f aca="false">'02 SIZE_RUN'!AD43</f>
        <v>0</v>
      </c>
      <c r="G1576" s="14" t="s">
        <v>241</v>
      </c>
      <c r="H1576" s="0" t="n">
        <f aca="false">'02 SIZE_RUN'!AE43</f>
        <v>0</v>
      </c>
    </row>
    <row r="1577" customFormat="false" ht="18" hidden="false" customHeight="true" outlineLevel="0" collapsed="false">
      <c r="A1577" s="14" t="s">
        <v>242</v>
      </c>
      <c r="B1577" s="0" t="n">
        <f aca="false">'02 SIZE_RUN'!AF43</f>
        <v>0</v>
      </c>
    </row>
    <row r="1578" customFormat="false" ht="18" hidden="false" customHeight="true" outlineLevel="0" collapsed="false">
      <c r="A1578" s="10" t="str">
        <f aca="false">"TOTAL SIZE: "&amp;'02 SIZE_RUN'!AG43&amp;" | SELISIH: "&amp;'02 SIZE_RUN'!AH43</f>
        <v>TOTAL SIZE: 300 | SELISIH: 0</v>
      </c>
      <c r="B1578" s="10"/>
      <c r="C1578" s="10"/>
      <c r="D1578" s="10"/>
      <c r="E1578" s="10"/>
      <c r="F1578" s="10"/>
      <c r="G1578" s="10"/>
      <c r="H1578" s="10"/>
    </row>
    <row r="1579" customFormat="false" ht="18" hidden="false" customHeight="true" outlineLevel="0" collapsed="false">
      <c r="A1579" s="10" t="s">
        <v>255</v>
      </c>
      <c r="B1579" s="10"/>
      <c r="C1579" s="10"/>
      <c r="D1579" s="13" t="str">
        <f aca="false">IF('01 ADMIN_ORDER'!P43="","BELUM DITETAPKAN",TEXT('01 ADMIN_ORDER'!P43,"dd mmm yyyy"))</f>
        <v>BELUM DITETAPKAN</v>
      </c>
      <c r="E1579" s="13"/>
      <c r="F1579" s="13"/>
      <c r="G1579" s="13"/>
      <c r="H1579" s="13"/>
    </row>
    <row r="1580" customFormat="false" ht="18" hidden="false" customHeight="true" outlineLevel="0" collapsed="false">
      <c r="A1580" s="10" t="s">
        <v>256</v>
      </c>
      <c r="B1580" s="10"/>
      <c r="C1580" s="10"/>
      <c r="D1580" s="13" t="str">
        <f aca="false">IF('01 ADMIN_ORDER'!Q43="","BELUM DITETAPKAN",TEXT('01 ADMIN_ORDER'!Q43,"dd mmm yyyy"))</f>
        <v>BELUM DITETAPKAN</v>
      </c>
      <c r="E1580" s="13"/>
      <c r="F1580" s="13"/>
      <c r="G1580" s="13"/>
      <c r="H1580" s="13"/>
    </row>
    <row r="1581" customFormat="false" ht="25.5" hidden="false" customHeight="true" outlineLevel="0" collapsed="false">
      <c r="A1581" s="12" t="str">
        <f aca="false">"REFERENSI ASSEMBLY (bukan target upper): "&amp;TEXT('01 ADMIN_ORDER'!M43,"dd mmm yyyy")&amp;" - "&amp;TEXT('01 ADMIN_ORDER'!N43,"dd mmm yyyy")</f>
        <v>REFERENSI ASSEMBLY (bukan target upper): 05 Oct 2026 - 05 Oct 2026</v>
      </c>
      <c r="B1581" s="12"/>
      <c r="C1581" s="12"/>
      <c r="D1581" s="12"/>
      <c r="E1581" s="12"/>
      <c r="F1581" s="12"/>
      <c r="G1581" s="12"/>
      <c r="H1581" s="12"/>
    </row>
    <row r="1582" customFormat="false" ht="18" hidden="false" customHeight="true" outlineLevel="0" collapsed="false">
      <c r="A1582" s="10" t="s">
        <v>257</v>
      </c>
      <c r="B1582" s="10"/>
      <c r="C1582" s="10"/>
      <c r="D1582" s="13" t="str">
        <f aca="false">IF('04 KESIAPAN'!G43="","BELUM DIISI",'04 KESIAPAN'!G43)</f>
        <v>BELUM DIISI</v>
      </c>
      <c r="E1582" s="13"/>
      <c r="F1582" s="13"/>
      <c r="G1582" s="13"/>
      <c r="H1582" s="13"/>
    </row>
    <row r="1583" customFormat="false" ht="18" hidden="false" customHeight="true" outlineLevel="0" collapsed="false">
      <c r="A1583" s="10" t="s">
        <v>258</v>
      </c>
      <c r="B1583" s="10"/>
      <c r="C1583" s="10"/>
      <c r="D1583" s="13" t="str">
        <f aca="false">IF('04 KESIAPAN'!H43="","BELUM DIISI",'04 KESIAPAN'!H43)</f>
        <v>BELUM DIISI</v>
      </c>
      <c r="E1583" s="13"/>
      <c r="F1583" s="13"/>
      <c r="G1583" s="13"/>
      <c r="H1583" s="13"/>
    </row>
    <row r="1584" customFormat="false" ht="18" hidden="false" customHeight="true" outlineLevel="0" collapsed="false">
      <c r="A1584" s="10" t="s">
        <v>259</v>
      </c>
      <c r="B1584" s="10"/>
      <c r="C1584" s="10"/>
      <c r="D1584" s="13" t="str">
        <f aca="false">IF('04 KESIAPAN'!I43="","BELUM DIISI",'04 KESIAPAN'!I43)</f>
        <v>BELUM DIISI</v>
      </c>
      <c r="E1584" s="13"/>
      <c r="F1584" s="13"/>
      <c r="G1584" s="13"/>
      <c r="H1584" s="13"/>
    </row>
    <row r="1585" customFormat="false" ht="18" hidden="false" customHeight="true" outlineLevel="0" collapsed="false">
      <c r="A1585" s="10" t="s">
        <v>260</v>
      </c>
      <c r="B1585" s="10"/>
      <c r="C1585" s="10"/>
      <c r="D1585" s="13" t="str">
        <f aca="false">IF('04 KESIAPAN'!K43="","BELUM DIISI",'04 KESIAPAN'!K43)</f>
        <v>BELUM DIISI</v>
      </c>
      <c r="E1585" s="13"/>
      <c r="F1585" s="13"/>
      <c r="G1585" s="13"/>
      <c r="H1585" s="13"/>
    </row>
    <row r="1586" customFormat="false" ht="18" hidden="false" customHeight="true" outlineLevel="0" collapsed="false">
      <c r="A1586" s="10" t="s">
        <v>261</v>
      </c>
      <c r="B1586" s="10"/>
      <c r="C1586" s="10"/>
      <c r="D1586" s="13" t="str">
        <f aca="false">IF('04 KESIAPAN'!L43="","BELUM DIISI",'04 KESIAPAN'!L43)</f>
        <v>BELUM DIISI</v>
      </c>
      <c r="E1586" s="13"/>
      <c r="F1586" s="13"/>
      <c r="G1586" s="13"/>
      <c r="H1586" s="13"/>
    </row>
    <row r="1587" customFormat="false" ht="18" hidden="false" customHeight="true" outlineLevel="0" collapsed="false">
      <c r="A1587" s="10" t="s">
        <v>262</v>
      </c>
      <c r="B1587" s="10"/>
      <c r="C1587" s="10"/>
      <c r="D1587" s="13" t="str">
        <f aca="false">IF('04 KESIAPAN'!N43="","BELUM DIISI",'04 KESIAPAN'!N43)</f>
        <v>BELUM DIISI</v>
      </c>
      <c r="E1587" s="13"/>
      <c r="F1587" s="13"/>
      <c r="G1587" s="13"/>
      <c r="H1587" s="13"/>
    </row>
    <row r="1588" customFormat="false" ht="18" hidden="false" customHeight="true" outlineLevel="0" collapsed="false">
      <c r="A1588" s="10" t="s">
        <v>263</v>
      </c>
      <c r="B1588" s="10"/>
      <c r="C1588" s="10"/>
      <c r="D1588" s="13" t="str">
        <f aca="false">IF('04 KESIAPAN'!P43="","BELUM DIISI",'04 KESIAPAN'!P43)</f>
        <v>BELUM DIISI</v>
      </c>
      <c r="E1588" s="13"/>
      <c r="F1588" s="13"/>
      <c r="G1588" s="13"/>
      <c r="H1588" s="13"/>
    </row>
    <row r="1589" customFormat="false" ht="18" hidden="false" customHeight="true" outlineLevel="0" collapsed="false">
      <c r="A1589" s="7" t="s">
        <v>264</v>
      </c>
      <c r="B1589" s="7"/>
      <c r="C1589" s="7"/>
      <c r="D1589" s="7"/>
      <c r="E1589" s="7"/>
      <c r="F1589" s="7"/>
      <c r="G1589" s="7"/>
      <c r="H1589" s="7"/>
    </row>
    <row r="1590" customFormat="false" ht="18" hidden="false" customHeight="true" outlineLevel="0" collapsed="false">
      <c r="A1590" s="13"/>
      <c r="B1590" s="13"/>
      <c r="C1590" s="13"/>
      <c r="D1590" s="13"/>
      <c r="E1590" s="13"/>
      <c r="F1590" s="13"/>
      <c r="G1590" s="13"/>
      <c r="H1590" s="13"/>
    </row>
    <row r="1591" customFormat="false" ht="18" hidden="false" customHeight="true" outlineLevel="0" collapsed="false">
      <c r="A1591" s="13"/>
      <c r="B1591" s="13"/>
      <c r="C1591" s="13"/>
      <c r="D1591" s="13"/>
      <c r="E1591" s="13"/>
      <c r="F1591" s="13"/>
      <c r="G1591" s="13"/>
      <c r="H1591" s="13"/>
    </row>
    <row r="1592" customFormat="false" ht="18" hidden="false" customHeight="true" outlineLevel="0" collapsed="false">
      <c r="A1592" s="13"/>
      <c r="B1592" s="13"/>
      <c r="C1592" s="13"/>
      <c r="D1592" s="13"/>
      <c r="E1592" s="13"/>
      <c r="F1592" s="13"/>
      <c r="G1592" s="13"/>
      <c r="H1592" s="13"/>
    </row>
    <row r="1593" customFormat="false" ht="18" hidden="false" customHeight="true" outlineLevel="0" collapsed="false">
      <c r="A1593" s="12" t="s">
        <v>265</v>
      </c>
      <c r="B1593" s="12"/>
      <c r="C1593" s="12"/>
      <c r="D1593" s="12"/>
      <c r="E1593" s="12" t="s">
        <v>266</v>
      </c>
      <c r="F1593" s="12"/>
      <c r="G1593" s="12"/>
      <c r="H1593" s="12"/>
    </row>
    <row r="1594" customFormat="false" ht="18" hidden="false" customHeight="true" outlineLevel="0" collapsed="false">
      <c r="A1594" s="12" t="s">
        <v>308</v>
      </c>
      <c r="B1594" s="12"/>
      <c r="C1594" s="12"/>
      <c r="D1594" s="12"/>
      <c r="E1594" s="12"/>
      <c r="F1594" s="12"/>
      <c r="G1594" s="12"/>
      <c r="H1594" s="12"/>
    </row>
    <row r="1595" customFormat="false" ht="18" hidden="false" customHeight="true" outlineLevel="0" collapsed="false"/>
    <row r="1596" customFormat="false" ht="18" hidden="false" customHeight="true" outlineLevel="0" collapsed="false"/>
    <row r="1597" customFormat="false" ht="25.5" hidden="false" customHeight="true" outlineLevel="0" collapsed="false">
      <c r="A1597" s="7" t="s">
        <v>246</v>
      </c>
      <c r="B1597" s="7"/>
      <c r="C1597" s="7"/>
      <c r="D1597" s="7"/>
      <c r="E1597" s="7"/>
      <c r="F1597" s="7"/>
      <c r="G1597" s="7"/>
      <c r="H1597" s="7"/>
    </row>
    <row r="1598" customFormat="false" ht="18" hidden="false" customHeight="true" outlineLevel="0" collapsed="false">
      <c r="A1598" s="8" t="str">
        <f aca="false">'01 ADMIN_ORDER'!R44</f>
        <v>DRAFT - PERLU VERIFIKASI</v>
      </c>
      <c r="B1598" s="8"/>
      <c r="C1598" s="8"/>
      <c r="D1598" s="8"/>
      <c r="E1598" s="8"/>
      <c r="F1598" s="8"/>
      <c r="G1598" s="8"/>
      <c r="H1598" s="8"/>
    </row>
    <row r="1599" customFormat="false" ht="18" hidden="false" customHeight="true" outlineLevel="0" collapsed="false">
      <c r="A1599" s="9" t="s">
        <v>247</v>
      </c>
      <c r="B1599" s="9"/>
      <c r="C1599" s="9"/>
      <c r="D1599" s="9"/>
      <c r="E1599" s="9"/>
      <c r="F1599" s="9"/>
      <c r="G1599" s="9"/>
      <c r="H1599" s="9"/>
    </row>
    <row r="1600" customFormat="false" ht="18" hidden="false" customHeight="true" outlineLevel="0" collapsed="false">
      <c r="A1600" s="10" t="s">
        <v>248</v>
      </c>
      <c r="B1600" s="10"/>
      <c r="C1600" s="11" t="str">
        <f aca="false">'01 ADMIN_ORDER'!A44</f>
        <v>179/10/43 (59)</v>
      </c>
      <c r="D1600" s="11"/>
      <c r="E1600" s="11"/>
      <c r="F1600" s="11"/>
      <c r="G1600" s="11"/>
      <c r="H1600" s="11"/>
    </row>
    <row r="1601" customFormat="false" ht="18" hidden="false" customHeight="true" outlineLevel="0" collapsed="false">
      <c r="A1601" s="10" t="s">
        <v>249</v>
      </c>
      <c r="B1601" s="10"/>
      <c r="C1601" s="12" t="str">
        <f aca="false">'01 ADMIN_ORDER'!C44&amp;" / "&amp;'01 ADMIN_ORDER'!D44</f>
        <v>FRONTCOURT LOW / LA6614</v>
      </c>
      <c r="D1601" s="12"/>
      <c r="E1601" s="12"/>
      <c r="F1601" s="12"/>
      <c r="G1601" s="12"/>
      <c r="H1601" s="12"/>
    </row>
    <row r="1602" customFormat="false" ht="18" hidden="false" customHeight="true" outlineLevel="0" collapsed="false">
      <c r="A1602" s="10" t="s">
        <v>250</v>
      </c>
      <c r="B1602" s="10"/>
      <c r="C1602" s="12" t="str">
        <f aca="false">'01 ADMIN_ORDER'!E44</f>
        <v>903390412</v>
      </c>
      <c r="D1602" s="12"/>
      <c r="E1602" s="12"/>
      <c r="F1602" s="12"/>
      <c r="G1602" s="12"/>
      <c r="H1602" s="12"/>
    </row>
    <row r="1603" customFormat="false" ht="27.75" hidden="false" customHeight="true" outlineLevel="0" collapsed="false">
      <c r="A1603" s="10" t="s">
        <v>251</v>
      </c>
      <c r="B1603" s="10"/>
      <c r="C1603" s="12" t="str">
        <f aca="false">'01 ADMIN_ORDER'!H44</f>
        <v>CORE BLACK/FTWR WHITE/GUM M2</v>
      </c>
      <c r="D1603" s="12"/>
      <c r="E1603" s="12"/>
      <c r="F1603" s="12"/>
      <c r="G1603" s="12"/>
      <c r="H1603" s="12"/>
    </row>
    <row r="1604" customFormat="false" ht="18" hidden="false" customHeight="true" outlineLevel="0" collapsed="false">
      <c r="A1604" s="10" t="s">
        <v>252</v>
      </c>
      <c r="B1604" s="10"/>
      <c r="C1604" s="12" t="str">
        <f aca="false">'01 ADMIN_ORDER'!B44&amp;" / "&amp;'01 ADMIN_ORDER'!G44</f>
        <v>B-19 / Argentina</v>
      </c>
      <c r="D1604" s="12"/>
      <c r="E1604" s="12"/>
      <c r="F1604" s="12"/>
      <c r="G1604" s="12"/>
      <c r="H1604" s="12"/>
    </row>
    <row r="1605" customFormat="false" ht="18" hidden="false" customHeight="true" outlineLevel="0" collapsed="false">
      <c r="A1605" s="10" t="s">
        <v>253</v>
      </c>
      <c r="B1605" s="10"/>
      <c r="C1605" s="13" t="str">
        <f aca="false">'01 ADMIN_ORDER'!I44&amp;" / "&amp;IF('04 KESIAPAN'!B44="","UOM BELUM DIISI",'04 KESIAPAN'!B44)</f>
        <v>360 / UOM BELUM DIISI</v>
      </c>
      <c r="D1605" s="13"/>
      <c r="E1605" s="13"/>
      <c r="F1605" s="13"/>
      <c r="G1605" s="13"/>
      <c r="H1605" s="13"/>
    </row>
    <row r="1606" customFormat="false" ht="18" hidden="false" customHeight="true" outlineLevel="0" collapsed="false">
      <c r="A1606" s="13" t="str">
        <f aca="false">IF('04 KESIAPAN'!C44="","SISTEM UKURAN BELUM DIISI",'04 KESIAPAN'!C44)&amp;" | Tanda -: "&amp;IF('04 KESIAPAN'!D44="","BELUM DIKONFIRMASI",'04 KESIAPAN'!D44)</f>
        <v>SISTEM UKURAN BELUM DIISI | Tanda -: BELUM DIKONFIRMASI</v>
      </c>
      <c r="B1606" s="13"/>
      <c r="C1606" s="13"/>
      <c r="D1606" s="13"/>
      <c r="E1606" s="13"/>
      <c r="F1606" s="13"/>
      <c r="G1606" s="13"/>
      <c r="H1606" s="13"/>
    </row>
    <row r="1607" customFormat="false" ht="18" hidden="false" customHeight="true" outlineLevel="0" collapsed="false">
      <c r="A1607" s="7" t="s">
        <v>254</v>
      </c>
      <c r="B1607" s="7"/>
      <c r="C1607" s="7"/>
      <c r="D1607" s="7"/>
      <c r="E1607" s="7"/>
      <c r="F1607" s="7"/>
      <c r="G1607" s="7"/>
      <c r="H1607" s="7"/>
    </row>
    <row r="1608" customFormat="false" ht="18" hidden="false" customHeight="true" outlineLevel="0" collapsed="false">
      <c r="A1608" s="14" t="s">
        <v>214</v>
      </c>
      <c r="B1608" s="0" t="n">
        <f aca="false">'02 SIZE_RUN'!D44</f>
        <v>0</v>
      </c>
      <c r="C1608" s="14" t="s">
        <v>215</v>
      </c>
      <c r="D1608" s="0" t="n">
        <f aca="false">'02 SIZE_RUN'!E44</f>
        <v>0</v>
      </c>
      <c r="E1608" s="14" t="s">
        <v>216</v>
      </c>
      <c r="F1608" s="0" t="n">
        <f aca="false">'02 SIZE_RUN'!F44</f>
        <v>0</v>
      </c>
      <c r="G1608" s="14" t="s">
        <v>217</v>
      </c>
      <c r="H1608" s="0" t="n">
        <f aca="false">'02 SIZE_RUN'!G44</f>
        <v>0</v>
      </c>
    </row>
    <row r="1609" customFormat="false" ht="18" hidden="false" customHeight="true" outlineLevel="0" collapsed="false">
      <c r="A1609" s="14" t="s">
        <v>218</v>
      </c>
      <c r="B1609" s="0" t="n">
        <f aca="false">'02 SIZE_RUN'!H44</f>
        <v>0</v>
      </c>
      <c r="C1609" s="14" t="s">
        <v>219</v>
      </c>
      <c r="D1609" s="0" t="n">
        <f aca="false">'02 SIZE_RUN'!I44</f>
        <v>0</v>
      </c>
      <c r="E1609" s="14" t="s">
        <v>220</v>
      </c>
      <c r="F1609" s="0" t="n">
        <f aca="false">'02 SIZE_RUN'!J44</f>
        <v>12</v>
      </c>
      <c r="G1609" s="14" t="s">
        <v>221</v>
      </c>
      <c r="H1609" s="0" t="n">
        <f aca="false">'02 SIZE_RUN'!K44</f>
        <v>18</v>
      </c>
    </row>
    <row r="1610" customFormat="false" ht="18" hidden="false" customHeight="true" outlineLevel="0" collapsed="false">
      <c r="A1610" s="14" t="s">
        <v>222</v>
      </c>
      <c r="B1610" s="0" t="n">
        <f aca="false">'02 SIZE_RUN'!L44</f>
        <v>25</v>
      </c>
      <c r="C1610" s="14" t="s">
        <v>223</v>
      </c>
      <c r="D1610" s="0" t="n">
        <f aca="false">'02 SIZE_RUN'!M44</f>
        <v>32</v>
      </c>
      <c r="E1610" s="14" t="s">
        <v>224</v>
      </c>
      <c r="F1610" s="0" t="n">
        <f aca="false">'02 SIZE_RUN'!N44</f>
        <v>39</v>
      </c>
      <c r="G1610" s="14" t="s">
        <v>225</v>
      </c>
      <c r="H1610" s="0" t="n">
        <f aca="false">'02 SIZE_RUN'!O44</f>
        <v>40</v>
      </c>
    </row>
    <row r="1611" customFormat="false" ht="18" hidden="false" customHeight="true" outlineLevel="0" collapsed="false">
      <c r="A1611" s="14" t="s">
        <v>226</v>
      </c>
      <c r="B1611" s="0" t="n">
        <f aca="false">'02 SIZE_RUN'!P44</f>
        <v>40</v>
      </c>
      <c r="C1611" s="14" t="s">
        <v>227</v>
      </c>
      <c r="D1611" s="0" t="n">
        <f aca="false">'02 SIZE_RUN'!Q44</f>
        <v>40</v>
      </c>
      <c r="E1611" s="14" t="s">
        <v>228</v>
      </c>
      <c r="F1611" s="0" t="n">
        <f aca="false">'02 SIZE_RUN'!R44</f>
        <v>39</v>
      </c>
      <c r="G1611" s="14" t="s">
        <v>229</v>
      </c>
      <c r="H1611" s="0" t="n">
        <f aca="false">'02 SIZE_RUN'!S44</f>
        <v>32</v>
      </c>
    </row>
    <row r="1612" customFormat="false" ht="18" hidden="false" customHeight="true" outlineLevel="0" collapsed="false">
      <c r="A1612" s="14" t="s">
        <v>230</v>
      </c>
      <c r="B1612" s="0" t="n">
        <f aca="false">'02 SIZE_RUN'!T44</f>
        <v>19</v>
      </c>
      <c r="C1612" s="14" t="s">
        <v>231</v>
      </c>
      <c r="D1612" s="0" t="n">
        <f aca="false">'02 SIZE_RUN'!U44</f>
        <v>12</v>
      </c>
      <c r="E1612" s="14" t="s">
        <v>232</v>
      </c>
      <c r="F1612" s="0" t="n">
        <f aca="false">'02 SIZE_RUN'!V44</f>
        <v>8</v>
      </c>
      <c r="G1612" s="14" t="s">
        <v>233</v>
      </c>
      <c r="H1612" s="0" t="n">
        <f aca="false">'02 SIZE_RUN'!W44</f>
        <v>4</v>
      </c>
    </row>
    <row r="1613" customFormat="false" ht="18" hidden="false" customHeight="true" outlineLevel="0" collapsed="false">
      <c r="A1613" s="14" t="s">
        <v>234</v>
      </c>
      <c r="B1613" s="0" t="n">
        <f aca="false">'02 SIZE_RUN'!X44</f>
        <v>0</v>
      </c>
      <c r="C1613" s="14" t="s">
        <v>235</v>
      </c>
      <c r="D1613" s="0" t="n">
        <f aca="false">'02 SIZE_RUN'!Y44</f>
        <v>0</v>
      </c>
      <c r="E1613" s="14" t="s">
        <v>236</v>
      </c>
      <c r="F1613" s="0" t="n">
        <f aca="false">'02 SIZE_RUN'!Z44</f>
        <v>0</v>
      </c>
      <c r="G1613" s="14" t="s">
        <v>237</v>
      </c>
      <c r="H1613" s="0" t="n">
        <f aca="false">'02 SIZE_RUN'!AA44</f>
        <v>0</v>
      </c>
    </row>
    <row r="1614" customFormat="false" ht="18" hidden="false" customHeight="true" outlineLevel="0" collapsed="false">
      <c r="A1614" s="14" t="s">
        <v>238</v>
      </c>
      <c r="B1614" s="0" t="n">
        <f aca="false">'02 SIZE_RUN'!AB44</f>
        <v>0</v>
      </c>
      <c r="C1614" s="14" t="s">
        <v>239</v>
      </c>
      <c r="D1614" s="0" t="n">
        <f aca="false">'02 SIZE_RUN'!AC44</f>
        <v>0</v>
      </c>
      <c r="E1614" s="14" t="s">
        <v>240</v>
      </c>
      <c r="F1614" s="0" t="n">
        <f aca="false">'02 SIZE_RUN'!AD44</f>
        <v>0</v>
      </c>
      <c r="G1614" s="14" t="s">
        <v>241</v>
      </c>
      <c r="H1614" s="0" t="n">
        <f aca="false">'02 SIZE_RUN'!AE44</f>
        <v>0</v>
      </c>
    </row>
    <row r="1615" customFormat="false" ht="18" hidden="false" customHeight="true" outlineLevel="0" collapsed="false">
      <c r="A1615" s="14" t="s">
        <v>242</v>
      </c>
      <c r="B1615" s="0" t="n">
        <f aca="false">'02 SIZE_RUN'!AF44</f>
        <v>0</v>
      </c>
    </row>
    <row r="1616" customFormat="false" ht="18" hidden="false" customHeight="true" outlineLevel="0" collapsed="false">
      <c r="A1616" s="10" t="str">
        <f aca="false">"TOTAL SIZE: "&amp;'02 SIZE_RUN'!AG44&amp;" | SELISIH: "&amp;'02 SIZE_RUN'!AH44</f>
        <v>TOTAL SIZE: 360 | SELISIH: 0</v>
      </c>
      <c r="B1616" s="10"/>
      <c r="C1616" s="10"/>
      <c r="D1616" s="10"/>
      <c r="E1616" s="10"/>
      <c r="F1616" s="10"/>
      <c r="G1616" s="10"/>
      <c r="H1616" s="10"/>
    </row>
    <row r="1617" customFormat="false" ht="18" hidden="false" customHeight="true" outlineLevel="0" collapsed="false">
      <c r="A1617" s="10" t="s">
        <v>255</v>
      </c>
      <c r="B1617" s="10"/>
      <c r="C1617" s="10"/>
      <c r="D1617" s="13" t="str">
        <f aca="false">IF('01 ADMIN_ORDER'!P44="","BELUM DITETAPKAN",TEXT('01 ADMIN_ORDER'!P44,"dd mmm yyyy"))</f>
        <v>BELUM DITETAPKAN</v>
      </c>
      <c r="E1617" s="13"/>
      <c r="F1617" s="13"/>
      <c r="G1617" s="13"/>
      <c r="H1617" s="13"/>
    </row>
    <row r="1618" customFormat="false" ht="18" hidden="false" customHeight="true" outlineLevel="0" collapsed="false">
      <c r="A1618" s="10" t="s">
        <v>256</v>
      </c>
      <c r="B1618" s="10"/>
      <c r="C1618" s="10"/>
      <c r="D1618" s="13" t="str">
        <f aca="false">IF('01 ADMIN_ORDER'!Q44="","BELUM DITETAPKAN",TEXT('01 ADMIN_ORDER'!Q44,"dd mmm yyyy"))</f>
        <v>BELUM DITETAPKAN</v>
      </c>
      <c r="E1618" s="13"/>
      <c r="F1618" s="13"/>
      <c r="G1618" s="13"/>
      <c r="H1618" s="13"/>
    </row>
    <row r="1619" customFormat="false" ht="25.5" hidden="false" customHeight="true" outlineLevel="0" collapsed="false">
      <c r="A1619" s="12" t="str">
        <f aca="false">"REFERENSI ASSEMBLY (bukan target upper): "&amp;TEXT('01 ADMIN_ORDER'!M44,"dd mmm yyyy")&amp;" - "&amp;TEXT('01 ADMIN_ORDER'!N44,"dd mmm yyyy")</f>
        <v>REFERENSI ASSEMBLY (bukan target upper): 05 Oct 2026 - 06 Oct 2026</v>
      </c>
      <c r="B1619" s="12"/>
      <c r="C1619" s="12"/>
      <c r="D1619" s="12"/>
      <c r="E1619" s="12"/>
      <c r="F1619" s="12"/>
      <c r="G1619" s="12"/>
      <c r="H1619" s="12"/>
    </row>
    <row r="1620" customFormat="false" ht="18" hidden="false" customHeight="true" outlineLevel="0" collapsed="false">
      <c r="A1620" s="10" t="s">
        <v>257</v>
      </c>
      <c r="B1620" s="10"/>
      <c r="C1620" s="10"/>
      <c r="D1620" s="13" t="str">
        <f aca="false">IF('04 KESIAPAN'!G44="","BELUM DIISI",'04 KESIAPAN'!G44)</f>
        <v>BELUM DIISI</v>
      </c>
      <c r="E1620" s="13"/>
      <c r="F1620" s="13"/>
      <c r="G1620" s="13"/>
      <c r="H1620" s="13"/>
    </row>
    <row r="1621" customFormat="false" ht="18" hidden="false" customHeight="true" outlineLevel="0" collapsed="false">
      <c r="A1621" s="10" t="s">
        <v>258</v>
      </c>
      <c r="B1621" s="10"/>
      <c r="C1621" s="10"/>
      <c r="D1621" s="13" t="str">
        <f aca="false">IF('04 KESIAPAN'!H44="","BELUM DIISI",'04 KESIAPAN'!H44)</f>
        <v>BELUM DIISI</v>
      </c>
      <c r="E1621" s="13"/>
      <c r="F1621" s="13"/>
      <c r="G1621" s="13"/>
      <c r="H1621" s="13"/>
    </row>
    <row r="1622" customFormat="false" ht="18" hidden="false" customHeight="true" outlineLevel="0" collapsed="false">
      <c r="A1622" s="10" t="s">
        <v>259</v>
      </c>
      <c r="B1622" s="10"/>
      <c r="C1622" s="10"/>
      <c r="D1622" s="13" t="str">
        <f aca="false">IF('04 KESIAPAN'!I44="","BELUM DIISI",'04 KESIAPAN'!I44)</f>
        <v>BELUM DIISI</v>
      </c>
      <c r="E1622" s="13"/>
      <c r="F1622" s="13"/>
      <c r="G1622" s="13"/>
      <c r="H1622" s="13"/>
    </row>
    <row r="1623" customFormat="false" ht="18" hidden="false" customHeight="true" outlineLevel="0" collapsed="false">
      <c r="A1623" s="10" t="s">
        <v>260</v>
      </c>
      <c r="B1623" s="10"/>
      <c r="C1623" s="10"/>
      <c r="D1623" s="13" t="str">
        <f aca="false">IF('04 KESIAPAN'!K44="","BELUM DIISI",'04 KESIAPAN'!K44)</f>
        <v>BELUM DIISI</v>
      </c>
      <c r="E1623" s="13"/>
      <c r="F1623" s="13"/>
      <c r="G1623" s="13"/>
      <c r="H1623" s="13"/>
    </row>
    <row r="1624" customFormat="false" ht="18" hidden="false" customHeight="true" outlineLevel="0" collapsed="false">
      <c r="A1624" s="10" t="s">
        <v>261</v>
      </c>
      <c r="B1624" s="10"/>
      <c r="C1624" s="10"/>
      <c r="D1624" s="13" t="str">
        <f aca="false">IF('04 KESIAPAN'!L44="","BELUM DIISI",'04 KESIAPAN'!L44)</f>
        <v>BELUM DIISI</v>
      </c>
      <c r="E1624" s="13"/>
      <c r="F1624" s="13"/>
      <c r="G1624" s="13"/>
      <c r="H1624" s="13"/>
    </row>
    <row r="1625" customFormat="false" ht="18" hidden="false" customHeight="true" outlineLevel="0" collapsed="false">
      <c r="A1625" s="10" t="s">
        <v>262</v>
      </c>
      <c r="B1625" s="10"/>
      <c r="C1625" s="10"/>
      <c r="D1625" s="13" t="str">
        <f aca="false">IF('04 KESIAPAN'!N44="","BELUM DIISI",'04 KESIAPAN'!N44)</f>
        <v>BELUM DIISI</v>
      </c>
      <c r="E1625" s="13"/>
      <c r="F1625" s="13"/>
      <c r="G1625" s="13"/>
      <c r="H1625" s="13"/>
    </row>
    <row r="1626" customFormat="false" ht="18" hidden="false" customHeight="true" outlineLevel="0" collapsed="false">
      <c r="A1626" s="10" t="s">
        <v>263</v>
      </c>
      <c r="B1626" s="10"/>
      <c r="C1626" s="10"/>
      <c r="D1626" s="13" t="str">
        <f aca="false">IF('04 KESIAPAN'!P44="","BELUM DIISI",'04 KESIAPAN'!P44)</f>
        <v>BELUM DIISI</v>
      </c>
      <c r="E1626" s="13"/>
      <c r="F1626" s="13"/>
      <c r="G1626" s="13"/>
      <c r="H1626" s="13"/>
    </row>
    <row r="1627" customFormat="false" ht="18" hidden="false" customHeight="true" outlineLevel="0" collapsed="false">
      <c r="A1627" s="7" t="s">
        <v>264</v>
      </c>
      <c r="B1627" s="7"/>
      <c r="C1627" s="7"/>
      <c r="D1627" s="7"/>
      <c r="E1627" s="7"/>
      <c r="F1627" s="7"/>
      <c r="G1627" s="7"/>
      <c r="H1627" s="7"/>
    </row>
    <row r="1628" customFormat="false" ht="18" hidden="false" customHeight="true" outlineLevel="0" collapsed="false">
      <c r="A1628" s="13"/>
      <c r="B1628" s="13"/>
      <c r="C1628" s="13"/>
      <c r="D1628" s="13"/>
      <c r="E1628" s="13"/>
      <c r="F1628" s="13"/>
      <c r="G1628" s="13"/>
      <c r="H1628" s="13"/>
    </row>
    <row r="1629" customFormat="false" ht="18" hidden="false" customHeight="true" outlineLevel="0" collapsed="false">
      <c r="A1629" s="13"/>
      <c r="B1629" s="13"/>
      <c r="C1629" s="13"/>
      <c r="D1629" s="13"/>
      <c r="E1629" s="13"/>
      <c r="F1629" s="13"/>
      <c r="G1629" s="13"/>
      <c r="H1629" s="13"/>
    </row>
    <row r="1630" customFormat="false" ht="18" hidden="false" customHeight="true" outlineLevel="0" collapsed="false">
      <c r="A1630" s="13"/>
      <c r="B1630" s="13"/>
      <c r="C1630" s="13"/>
      <c r="D1630" s="13"/>
      <c r="E1630" s="13"/>
      <c r="F1630" s="13"/>
      <c r="G1630" s="13"/>
      <c r="H1630" s="13"/>
    </row>
    <row r="1631" customFormat="false" ht="18" hidden="false" customHeight="true" outlineLevel="0" collapsed="false">
      <c r="A1631" s="12" t="s">
        <v>265</v>
      </c>
      <c r="B1631" s="12"/>
      <c r="C1631" s="12"/>
      <c r="D1631" s="12"/>
      <c r="E1631" s="12" t="s">
        <v>266</v>
      </c>
      <c r="F1631" s="12"/>
      <c r="G1631" s="12"/>
      <c r="H1631" s="12"/>
    </row>
    <row r="1632" customFormat="false" ht="18" hidden="false" customHeight="true" outlineLevel="0" collapsed="false">
      <c r="A1632" s="12" t="s">
        <v>309</v>
      </c>
      <c r="B1632" s="12"/>
      <c r="C1632" s="12"/>
      <c r="D1632" s="12"/>
      <c r="E1632" s="12"/>
      <c r="F1632" s="12"/>
      <c r="G1632" s="12"/>
      <c r="H1632" s="12"/>
    </row>
    <row r="1633" customFormat="false" ht="18" hidden="false" customHeight="true" outlineLevel="0" collapsed="false"/>
    <row r="1634" customFormat="false" ht="18" hidden="false" customHeight="true" outlineLevel="0" collapsed="false"/>
    <row r="1635" customFormat="false" ht="25.5" hidden="false" customHeight="true" outlineLevel="0" collapsed="false">
      <c r="A1635" s="7" t="s">
        <v>246</v>
      </c>
      <c r="B1635" s="7"/>
      <c r="C1635" s="7"/>
      <c r="D1635" s="7"/>
      <c r="E1635" s="7"/>
      <c r="F1635" s="7"/>
      <c r="G1635" s="7"/>
      <c r="H1635" s="7"/>
    </row>
    <row r="1636" customFormat="false" ht="18" hidden="false" customHeight="true" outlineLevel="0" collapsed="false">
      <c r="A1636" s="8" t="str">
        <f aca="false">'01 ADMIN_ORDER'!R45</f>
        <v>DRAFT - PERLU VERIFIKASI</v>
      </c>
      <c r="B1636" s="8"/>
      <c r="C1636" s="8"/>
      <c r="D1636" s="8"/>
      <c r="E1636" s="8"/>
      <c r="F1636" s="8"/>
      <c r="G1636" s="8"/>
      <c r="H1636" s="8"/>
    </row>
    <row r="1637" customFormat="false" ht="18" hidden="false" customHeight="true" outlineLevel="0" collapsed="false">
      <c r="A1637" s="9" t="s">
        <v>247</v>
      </c>
      <c r="B1637" s="9"/>
      <c r="C1637" s="9"/>
      <c r="D1637" s="9"/>
      <c r="E1637" s="9"/>
      <c r="F1637" s="9"/>
      <c r="G1637" s="9"/>
      <c r="H1637" s="9"/>
    </row>
    <row r="1638" customFormat="false" ht="18" hidden="false" customHeight="true" outlineLevel="0" collapsed="false">
      <c r="A1638" s="10" t="s">
        <v>248</v>
      </c>
      <c r="B1638" s="10"/>
      <c r="C1638" s="11" t="str">
        <f aca="false">'01 ADMIN_ORDER'!A45</f>
        <v>180/10/44 (59)</v>
      </c>
      <c r="D1638" s="11"/>
      <c r="E1638" s="11"/>
      <c r="F1638" s="11"/>
      <c r="G1638" s="11"/>
      <c r="H1638" s="11"/>
    </row>
    <row r="1639" customFormat="false" ht="18" hidden="false" customHeight="true" outlineLevel="0" collapsed="false">
      <c r="A1639" s="10" t="s">
        <v>249</v>
      </c>
      <c r="B1639" s="10"/>
      <c r="C1639" s="12" t="str">
        <f aca="false">'01 ADMIN_ORDER'!C45&amp;" / "&amp;'01 ADMIN_ORDER'!D45</f>
        <v>FRONTCOURT LOW / LA6614</v>
      </c>
      <c r="D1639" s="12"/>
      <c r="E1639" s="12"/>
      <c r="F1639" s="12"/>
      <c r="G1639" s="12"/>
      <c r="H1639" s="12"/>
    </row>
    <row r="1640" customFormat="false" ht="18" hidden="false" customHeight="true" outlineLevel="0" collapsed="false">
      <c r="A1640" s="10" t="s">
        <v>250</v>
      </c>
      <c r="B1640" s="10"/>
      <c r="C1640" s="12" t="str">
        <f aca="false">'01 ADMIN_ORDER'!E45</f>
        <v>903410918</v>
      </c>
      <c r="D1640" s="12"/>
      <c r="E1640" s="12"/>
      <c r="F1640" s="12"/>
      <c r="G1640" s="12"/>
      <c r="H1640" s="12"/>
    </row>
    <row r="1641" customFormat="false" ht="27.75" hidden="false" customHeight="true" outlineLevel="0" collapsed="false">
      <c r="A1641" s="10" t="s">
        <v>251</v>
      </c>
      <c r="B1641" s="10"/>
      <c r="C1641" s="12" t="str">
        <f aca="false">'01 ADMIN_ORDER'!H45</f>
        <v>CORE BLACK/FTWR WHITE/GUM M2</v>
      </c>
      <c r="D1641" s="12"/>
      <c r="E1641" s="12"/>
      <c r="F1641" s="12"/>
      <c r="G1641" s="12"/>
      <c r="H1641" s="12"/>
    </row>
    <row r="1642" customFormat="false" ht="18" hidden="false" customHeight="true" outlineLevel="0" collapsed="false">
      <c r="A1642" s="10" t="s">
        <v>252</v>
      </c>
      <c r="B1642" s="10"/>
      <c r="C1642" s="12" t="str">
        <f aca="false">'01 ADMIN_ORDER'!B45&amp;" / "&amp;'01 ADMIN_ORDER'!G45</f>
        <v>B-19 / Chile</v>
      </c>
      <c r="D1642" s="12"/>
      <c r="E1642" s="12"/>
      <c r="F1642" s="12"/>
      <c r="G1642" s="12"/>
      <c r="H1642" s="12"/>
    </row>
    <row r="1643" customFormat="false" ht="18" hidden="false" customHeight="true" outlineLevel="0" collapsed="false">
      <c r="A1643" s="10" t="s">
        <v>253</v>
      </c>
      <c r="B1643" s="10"/>
      <c r="C1643" s="13" t="str">
        <f aca="false">'01 ADMIN_ORDER'!I45&amp;" / "&amp;IF('04 KESIAPAN'!B45="","UOM BELUM DIISI",'04 KESIAPAN'!B45)</f>
        <v>530 / UOM BELUM DIISI</v>
      </c>
      <c r="D1643" s="13"/>
      <c r="E1643" s="13"/>
      <c r="F1643" s="13"/>
      <c r="G1643" s="13"/>
      <c r="H1643" s="13"/>
    </row>
    <row r="1644" customFormat="false" ht="18" hidden="false" customHeight="true" outlineLevel="0" collapsed="false">
      <c r="A1644" s="13" t="str">
        <f aca="false">IF('04 KESIAPAN'!C45="","SISTEM UKURAN BELUM DIISI",'04 KESIAPAN'!C45)&amp;" | Tanda -: "&amp;IF('04 KESIAPAN'!D45="","BELUM DIKONFIRMASI",'04 KESIAPAN'!D45)</f>
        <v>SISTEM UKURAN BELUM DIISI | Tanda -: BELUM DIKONFIRMASI</v>
      </c>
      <c r="B1644" s="13"/>
      <c r="C1644" s="13"/>
      <c r="D1644" s="13"/>
      <c r="E1644" s="13"/>
      <c r="F1644" s="13"/>
      <c r="G1644" s="13"/>
      <c r="H1644" s="13"/>
    </row>
    <row r="1645" customFormat="false" ht="18" hidden="false" customHeight="true" outlineLevel="0" collapsed="false">
      <c r="A1645" s="7" t="s">
        <v>254</v>
      </c>
      <c r="B1645" s="7"/>
      <c r="C1645" s="7"/>
      <c r="D1645" s="7"/>
      <c r="E1645" s="7"/>
      <c r="F1645" s="7"/>
      <c r="G1645" s="7"/>
      <c r="H1645" s="7"/>
    </row>
    <row r="1646" customFormat="false" ht="18" hidden="false" customHeight="true" outlineLevel="0" collapsed="false">
      <c r="A1646" s="14" t="s">
        <v>214</v>
      </c>
      <c r="B1646" s="0" t="n">
        <f aca="false">'02 SIZE_RUN'!D45</f>
        <v>0</v>
      </c>
      <c r="C1646" s="14" t="s">
        <v>215</v>
      </c>
      <c r="D1646" s="0" t="n">
        <f aca="false">'02 SIZE_RUN'!E45</f>
        <v>0</v>
      </c>
      <c r="E1646" s="14" t="s">
        <v>216</v>
      </c>
      <c r="F1646" s="0" t="n">
        <f aca="false">'02 SIZE_RUN'!F45</f>
        <v>0</v>
      </c>
      <c r="G1646" s="14" t="s">
        <v>217</v>
      </c>
      <c r="H1646" s="0" t="n">
        <f aca="false">'02 SIZE_RUN'!G45</f>
        <v>0</v>
      </c>
    </row>
    <row r="1647" customFormat="false" ht="18" hidden="false" customHeight="true" outlineLevel="0" collapsed="false">
      <c r="A1647" s="14" t="s">
        <v>218</v>
      </c>
      <c r="B1647" s="0" t="n">
        <f aca="false">'02 SIZE_RUN'!H45</f>
        <v>0</v>
      </c>
      <c r="C1647" s="14" t="s">
        <v>219</v>
      </c>
      <c r="D1647" s="0" t="n">
        <f aca="false">'02 SIZE_RUN'!I45</f>
        <v>0</v>
      </c>
      <c r="E1647" s="14" t="s">
        <v>220</v>
      </c>
      <c r="F1647" s="0" t="n">
        <f aca="false">'02 SIZE_RUN'!J45</f>
        <v>1</v>
      </c>
      <c r="G1647" s="14" t="s">
        <v>221</v>
      </c>
      <c r="H1647" s="0" t="n">
        <f aca="false">'02 SIZE_RUN'!K45</f>
        <v>36</v>
      </c>
    </row>
    <row r="1648" customFormat="false" ht="18" hidden="false" customHeight="true" outlineLevel="0" collapsed="false">
      <c r="A1648" s="14" t="s">
        <v>222</v>
      </c>
      <c r="B1648" s="0" t="n">
        <f aca="false">'02 SIZE_RUN'!L45</f>
        <v>2</v>
      </c>
      <c r="C1648" s="14" t="s">
        <v>223</v>
      </c>
      <c r="D1648" s="0" t="n">
        <f aca="false">'02 SIZE_RUN'!M45</f>
        <v>105</v>
      </c>
      <c r="E1648" s="14" t="s">
        <v>224</v>
      </c>
      <c r="F1648" s="0" t="n">
        <f aca="false">'02 SIZE_RUN'!N45</f>
        <v>34</v>
      </c>
      <c r="G1648" s="14" t="s">
        <v>225</v>
      </c>
      <c r="H1648" s="0" t="n">
        <f aca="false">'02 SIZE_RUN'!O45</f>
        <v>105</v>
      </c>
    </row>
    <row r="1649" customFormat="false" ht="18" hidden="false" customHeight="true" outlineLevel="0" collapsed="false">
      <c r="A1649" s="14" t="s">
        <v>226</v>
      </c>
      <c r="B1649" s="0" t="n">
        <f aca="false">'02 SIZE_RUN'!P45</f>
        <v>36</v>
      </c>
      <c r="C1649" s="14" t="s">
        <v>227</v>
      </c>
      <c r="D1649" s="0" t="n">
        <f aca="false">'02 SIZE_RUN'!Q45</f>
        <v>105</v>
      </c>
      <c r="E1649" s="14" t="s">
        <v>228</v>
      </c>
      <c r="F1649" s="0" t="n">
        <f aca="false">'02 SIZE_RUN'!R45</f>
        <v>0</v>
      </c>
      <c r="G1649" s="14" t="s">
        <v>229</v>
      </c>
      <c r="H1649" s="0" t="n">
        <f aca="false">'02 SIZE_RUN'!S45</f>
        <v>71</v>
      </c>
    </row>
    <row r="1650" customFormat="false" ht="18" hidden="false" customHeight="true" outlineLevel="0" collapsed="false">
      <c r="A1650" s="14" t="s">
        <v>230</v>
      </c>
      <c r="B1650" s="0" t="n">
        <f aca="false">'02 SIZE_RUN'!T45</f>
        <v>34</v>
      </c>
      <c r="C1650" s="14" t="s">
        <v>231</v>
      </c>
      <c r="D1650" s="0" t="n">
        <f aca="false">'02 SIZE_RUN'!U45</f>
        <v>1</v>
      </c>
      <c r="E1650" s="14" t="s">
        <v>232</v>
      </c>
      <c r="F1650" s="0" t="n">
        <f aca="false">'02 SIZE_RUN'!V45</f>
        <v>0</v>
      </c>
      <c r="G1650" s="14" t="s">
        <v>233</v>
      </c>
      <c r="H1650" s="0" t="n">
        <f aca="false">'02 SIZE_RUN'!W45</f>
        <v>0</v>
      </c>
    </row>
    <row r="1651" customFormat="false" ht="18" hidden="false" customHeight="true" outlineLevel="0" collapsed="false">
      <c r="A1651" s="14" t="s">
        <v>234</v>
      </c>
      <c r="B1651" s="0" t="n">
        <f aca="false">'02 SIZE_RUN'!X45</f>
        <v>0</v>
      </c>
      <c r="C1651" s="14" t="s">
        <v>235</v>
      </c>
      <c r="D1651" s="0" t="n">
        <f aca="false">'02 SIZE_RUN'!Y45</f>
        <v>0</v>
      </c>
      <c r="E1651" s="14" t="s">
        <v>236</v>
      </c>
      <c r="F1651" s="0" t="n">
        <f aca="false">'02 SIZE_RUN'!Z45</f>
        <v>0</v>
      </c>
      <c r="G1651" s="14" t="s">
        <v>237</v>
      </c>
      <c r="H1651" s="0" t="n">
        <f aca="false">'02 SIZE_RUN'!AA45</f>
        <v>0</v>
      </c>
    </row>
    <row r="1652" customFormat="false" ht="18" hidden="false" customHeight="true" outlineLevel="0" collapsed="false">
      <c r="A1652" s="14" t="s">
        <v>238</v>
      </c>
      <c r="B1652" s="0" t="n">
        <f aca="false">'02 SIZE_RUN'!AB45</f>
        <v>0</v>
      </c>
      <c r="C1652" s="14" t="s">
        <v>239</v>
      </c>
      <c r="D1652" s="0" t="n">
        <f aca="false">'02 SIZE_RUN'!AC45</f>
        <v>0</v>
      </c>
      <c r="E1652" s="14" t="s">
        <v>240</v>
      </c>
      <c r="F1652" s="0" t="n">
        <f aca="false">'02 SIZE_RUN'!AD45</f>
        <v>0</v>
      </c>
      <c r="G1652" s="14" t="s">
        <v>241</v>
      </c>
      <c r="H1652" s="0" t="n">
        <f aca="false">'02 SIZE_RUN'!AE45</f>
        <v>0</v>
      </c>
    </row>
    <row r="1653" customFormat="false" ht="18" hidden="false" customHeight="true" outlineLevel="0" collapsed="false">
      <c r="A1653" s="14" t="s">
        <v>242</v>
      </c>
      <c r="B1653" s="0" t="n">
        <f aca="false">'02 SIZE_RUN'!AF45</f>
        <v>0</v>
      </c>
    </row>
    <row r="1654" customFormat="false" ht="18" hidden="false" customHeight="true" outlineLevel="0" collapsed="false">
      <c r="A1654" s="10" t="str">
        <f aca="false">"TOTAL SIZE: "&amp;'02 SIZE_RUN'!AG45&amp;" | SELISIH: "&amp;'02 SIZE_RUN'!AH45</f>
        <v>TOTAL SIZE: 530 | SELISIH: 0</v>
      </c>
      <c r="B1654" s="10"/>
      <c r="C1654" s="10"/>
      <c r="D1654" s="10"/>
      <c r="E1654" s="10"/>
      <c r="F1654" s="10"/>
      <c r="G1654" s="10"/>
      <c r="H1654" s="10"/>
    </row>
    <row r="1655" customFormat="false" ht="18" hidden="false" customHeight="true" outlineLevel="0" collapsed="false">
      <c r="A1655" s="10" t="s">
        <v>255</v>
      </c>
      <c r="B1655" s="10"/>
      <c r="C1655" s="10"/>
      <c r="D1655" s="13" t="str">
        <f aca="false">IF('01 ADMIN_ORDER'!P45="","BELUM DITETAPKAN",TEXT('01 ADMIN_ORDER'!P45,"dd mmm yyyy"))</f>
        <v>BELUM DITETAPKAN</v>
      </c>
      <c r="E1655" s="13"/>
      <c r="F1655" s="13"/>
      <c r="G1655" s="13"/>
      <c r="H1655" s="13"/>
    </row>
    <row r="1656" customFormat="false" ht="18" hidden="false" customHeight="true" outlineLevel="0" collapsed="false">
      <c r="A1656" s="10" t="s">
        <v>256</v>
      </c>
      <c r="B1656" s="10"/>
      <c r="C1656" s="10"/>
      <c r="D1656" s="13" t="str">
        <f aca="false">IF('01 ADMIN_ORDER'!Q45="","BELUM DITETAPKAN",TEXT('01 ADMIN_ORDER'!Q45,"dd mmm yyyy"))</f>
        <v>BELUM DITETAPKAN</v>
      </c>
      <c r="E1656" s="13"/>
      <c r="F1656" s="13"/>
      <c r="G1656" s="13"/>
      <c r="H1656" s="13"/>
    </row>
    <row r="1657" customFormat="false" ht="25.5" hidden="false" customHeight="true" outlineLevel="0" collapsed="false">
      <c r="A1657" s="12" t="str">
        <f aca="false">"REFERENSI ASSEMBLY (bukan target upper): "&amp;TEXT('01 ADMIN_ORDER'!M45,"dd mmm yyyy")&amp;" - "&amp;TEXT('01 ADMIN_ORDER'!N45,"dd mmm yyyy")</f>
        <v>REFERENSI ASSEMBLY (bukan target upper): 06 Oct 2026 - 06 Oct 2026</v>
      </c>
      <c r="B1657" s="12"/>
      <c r="C1657" s="12"/>
      <c r="D1657" s="12"/>
      <c r="E1657" s="12"/>
      <c r="F1657" s="12"/>
      <c r="G1657" s="12"/>
      <c r="H1657" s="12"/>
    </row>
    <row r="1658" customFormat="false" ht="18" hidden="false" customHeight="true" outlineLevel="0" collapsed="false">
      <c r="A1658" s="10" t="s">
        <v>257</v>
      </c>
      <c r="B1658" s="10"/>
      <c r="C1658" s="10"/>
      <c r="D1658" s="13" t="str">
        <f aca="false">IF('04 KESIAPAN'!G45="","BELUM DIISI",'04 KESIAPAN'!G45)</f>
        <v>BELUM DIISI</v>
      </c>
      <c r="E1658" s="13"/>
      <c r="F1658" s="13"/>
      <c r="G1658" s="13"/>
      <c r="H1658" s="13"/>
    </row>
    <row r="1659" customFormat="false" ht="18" hidden="false" customHeight="true" outlineLevel="0" collapsed="false">
      <c r="A1659" s="10" t="s">
        <v>258</v>
      </c>
      <c r="B1659" s="10"/>
      <c r="C1659" s="10"/>
      <c r="D1659" s="13" t="str">
        <f aca="false">IF('04 KESIAPAN'!H45="","BELUM DIISI",'04 KESIAPAN'!H45)</f>
        <v>BELUM DIISI</v>
      </c>
      <c r="E1659" s="13"/>
      <c r="F1659" s="13"/>
      <c r="G1659" s="13"/>
      <c r="H1659" s="13"/>
    </row>
    <row r="1660" customFormat="false" ht="18" hidden="false" customHeight="true" outlineLevel="0" collapsed="false">
      <c r="A1660" s="10" t="s">
        <v>259</v>
      </c>
      <c r="B1660" s="10"/>
      <c r="C1660" s="10"/>
      <c r="D1660" s="13" t="str">
        <f aca="false">IF('04 KESIAPAN'!I45="","BELUM DIISI",'04 KESIAPAN'!I45)</f>
        <v>BELUM DIISI</v>
      </c>
      <c r="E1660" s="13"/>
      <c r="F1660" s="13"/>
      <c r="G1660" s="13"/>
      <c r="H1660" s="13"/>
    </row>
    <row r="1661" customFormat="false" ht="18" hidden="false" customHeight="true" outlineLevel="0" collapsed="false">
      <c r="A1661" s="10" t="s">
        <v>260</v>
      </c>
      <c r="B1661" s="10"/>
      <c r="C1661" s="10"/>
      <c r="D1661" s="13" t="str">
        <f aca="false">IF('04 KESIAPAN'!K45="","BELUM DIISI",'04 KESIAPAN'!K45)</f>
        <v>BELUM DIISI</v>
      </c>
      <c r="E1661" s="13"/>
      <c r="F1661" s="13"/>
      <c r="G1661" s="13"/>
      <c r="H1661" s="13"/>
    </row>
    <row r="1662" customFormat="false" ht="18" hidden="false" customHeight="true" outlineLevel="0" collapsed="false">
      <c r="A1662" s="10" t="s">
        <v>261</v>
      </c>
      <c r="B1662" s="10"/>
      <c r="C1662" s="10"/>
      <c r="D1662" s="13" t="str">
        <f aca="false">IF('04 KESIAPAN'!L45="","BELUM DIISI",'04 KESIAPAN'!L45)</f>
        <v>BELUM DIISI</v>
      </c>
      <c r="E1662" s="13"/>
      <c r="F1662" s="13"/>
      <c r="G1662" s="13"/>
      <c r="H1662" s="13"/>
    </row>
    <row r="1663" customFormat="false" ht="18" hidden="false" customHeight="true" outlineLevel="0" collapsed="false">
      <c r="A1663" s="10" t="s">
        <v>262</v>
      </c>
      <c r="B1663" s="10"/>
      <c r="C1663" s="10"/>
      <c r="D1663" s="13" t="str">
        <f aca="false">IF('04 KESIAPAN'!N45="","BELUM DIISI",'04 KESIAPAN'!N45)</f>
        <v>BELUM DIISI</v>
      </c>
      <c r="E1663" s="13"/>
      <c r="F1663" s="13"/>
      <c r="G1663" s="13"/>
      <c r="H1663" s="13"/>
    </row>
    <row r="1664" customFormat="false" ht="18" hidden="false" customHeight="true" outlineLevel="0" collapsed="false">
      <c r="A1664" s="10" t="s">
        <v>263</v>
      </c>
      <c r="B1664" s="10"/>
      <c r="C1664" s="10"/>
      <c r="D1664" s="13" t="str">
        <f aca="false">IF('04 KESIAPAN'!P45="","BELUM DIISI",'04 KESIAPAN'!P45)</f>
        <v>BELUM DIISI</v>
      </c>
      <c r="E1664" s="13"/>
      <c r="F1664" s="13"/>
      <c r="G1664" s="13"/>
      <c r="H1664" s="13"/>
    </row>
    <row r="1665" customFormat="false" ht="18" hidden="false" customHeight="true" outlineLevel="0" collapsed="false">
      <c r="A1665" s="7" t="s">
        <v>264</v>
      </c>
      <c r="B1665" s="7"/>
      <c r="C1665" s="7"/>
      <c r="D1665" s="7"/>
      <c r="E1665" s="7"/>
      <c r="F1665" s="7"/>
      <c r="G1665" s="7"/>
      <c r="H1665" s="7"/>
    </row>
    <row r="1666" customFormat="false" ht="18" hidden="false" customHeight="true" outlineLevel="0" collapsed="false">
      <c r="A1666" s="13"/>
      <c r="B1666" s="13"/>
      <c r="C1666" s="13"/>
      <c r="D1666" s="13"/>
      <c r="E1666" s="13"/>
      <c r="F1666" s="13"/>
      <c r="G1666" s="13"/>
      <c r="H1666" s="13"/>
    </row>
    <row r="1667" customFormat="false" ht="18" hidden="false" customHeight="true" outlineLevel="0" collapsed="false">
      <c r="A1667" s="13"/>
      <c r="B1667" s="13"/>
      <c r="C1667" s="13"/>
      <c r="D1667" s="13"/>
      <c r="E1667" s="13"/>
      <c r="F1667" s="13"/>
      <c r="G1667" s="13"/>
      <c r="H1667" s="13"/>
    </row>
    <row r="1668" customFormat="false" ht="18" hidden="false" customHeight="true" outlineLevel="0" collapsed="false">
      <c r="A1668" s="13"/>
      <c r="B1668" s="13"/>
      <c r="C1668" s="13"/>
      <c r="D1668" s="13"/>
      <c r="E1668" s="13"/>
      <c r="F1668" s="13"/>
      <c r="G1668" s="13"/>
      <c r="H1668" s="13"/>
    </row>
    <row r="1669" customFormat="false" ht="18" hidden="false" customHeight="true" outlineLevel="0" collapsed="false">
      <c r="A1669" s="12" t="s">
        <v>265</v>
      </c>
      <c r="B1669" s="12"/>
      <c r="C1669" s="12"/>
      <c r="D1669" s="12"/>
      <c r="E1669" s="12" t="s">
        <v>266</v>
      </c>
      <c r="F1669" s="12"/>
      <c r="G1669" s="12"/>
      <c r="H1669" s="12"/>
    </row>
    <row r="1670" customFormat="false" ht="18" hidden="false" customHeight="true" outlineLevel="0" collapsed="false">
      <c r="A1670" s="12" t="s">
        <v>310</v>
      </c>
      <c r="B1670" s="12"/>
      <c r="C1670" s="12"/>
      <c r="D1670" s="12"/>
      <c r="E1670" s="12"/>
      <c r="F1670" s="12"/>
      <c r="G1670" s="12"/>
      <c r="H1670" s="12"/>
    </row>
    <row r="1671" customFormat="false" ht="18" hidden="false" customHeight="true" outlineLevel="0" collapsed="false"/>
    <row r="1672" customFormat="false" ht="18" hidden="false" customHeight="true" outlineLevel="0" collapsed="false"/>
    <row r="1673" customFormat="false" ht="25.5" hidden="false" customHeight="true" outlineLevel="0" collapsed="false">
      <c r="A1673" s="7" t="s">
        <v>246</v>
      </c>
      <c r="B1673" s="7"/>
      <c r="C1673" s="7"/>
      <c r="D1673" s="7"/>
      <c r="E1673" s="7"/>
      <c r="F1673" s="7"/>
      <c r="G1673" s="7"/>
      <c r="H1673" s="7"/>
    </row>
    <row r="1674" customFormat="false" ht="18" hidden="false" customHeight="true" outlineLevel="0" collapsed="false">
      <c r="A1674" s="8" t="str">
        <f aca="false">'01 ADMIN_ORDER'!R46</f>
        <v>DRAFT - PERLU VERIFIKASI</v>
      </c>
      <c r="B1674" s="8"/>
      <c r="C1674" s="8"/>
      <c r="D1674" s="8"/>
      <c r="E1674" s="8"/>
      <c r="F1674" s="8"/>
      <c r="G1674" s="8"/>
      <c r="H1674" s="8"/>
    </row>
    <row r="1675" customFormat="false" ht="18" hidden="false" customHeight="true" outlineLevel="0" collapsed="false">
      <c r="A1675" s="9" t="s">
        <v>247</v>
      </c>
      <c r="B1675" s="9"/>
      <c r="C1675" s="9"/>
      <c r="D1675" s="9"/>
      <c r="E1675" s="9"/>
      <c r="F1675" s="9"/>
      <c r="G1675" s="9"/>
      <c r="H1675" s="9"/>
    </row>
    <row r="1676" customFormat="false" ht="18" hidden="false" customHeight="true" outlineLevel="0" collapsed="false">
      <c r="A1676" s="10" t="s">
        <v>248</v>
      </c>
      <c r="B1676" s="10"/>
      <c r="C1676" s="11" t="str">
        <f aca="false">'01 ADMIN_ORDER'!A46</f>
        <v>181/10/45 (59)</v>
      </c>
      <c r="D1676" s="11"/>
      <c r="E1676" s="11"/>
      <c r="F1676" s="11"/>
      <c r="G1676" s="11"/>
      <c r="H1676" s="11"/>
    </row>
    <row r="1677" customFormat="false" ht="18" hidden="false" customHeight="true" outlineLevel="0" collapsed="false">
      <c r="A1677" s="10" t="s">
        <v>249</v>
      </c>
      <c r="B1677" s="10"/>
      <c r="C1677" s="12" t="str">
        <f aca="false">'01 ADMIN_ORDER'!C46&amp;" / "&amp;'01 ADMIN_ORDER'!D46</f>
        <v>FRONTCOURT LOW / LA6614</v>
      </c>
      <c r="D1677" s="12"/>
      <c r="E1677" s="12"/>
      <c r="F1677" s="12"/>
      <c r="G1677" s="12"/>
      <c r="H1677" s="12"/>
    </row>
    <row r="1678" customFormat="false" ht="18" hidden="false" customHeight="true" outlineLevel="0" collapsed="false">
      <c r="A1678" s="10" t="s">
        <v>250</v>
      </c>
      <c r="B1678" s="10"/>
      <c r="C1678" s="12" t="str">
        <f aca="false">'01 ADMIN_ORDER'!E46</f>
        <v>903409889</v>
      </c>
      <c r="D1678" s="12"/>
      <c r="E1678" s="12"/>
      <c r="F1678" s="12"/>
      <c r="G1678" s="12"/>
      <c r="H1678" s="12"/>
    </row>
    <row r="1679" customFormat="false" ht="27.75" hidden="false" customHeight="true" outlineLevel="0" collapsed="false">
      <c r="A1679" s="10" t="s">
        <v>251</v>
      </c>
      <c r="B1679" s="10"/>
      <c r="C1679" s="12" t="str">
        <f aca="false">'01 ADMIN_ORDER'!H46</f>
        <v>CORE BLACK/FTWR WHITE/GUM M2</v>
      </c>
      <c r="D1679" s="12"/>
      <c r="E1679" s="12"/>
      <c r="F1679" s="12"/>
      <c r="G1679" s="12"/>
      <c r="H1679" s="12"/>
    </row>
    <row r="1680" customFormat="false" ht="18" hidden="false" customHeight="true" outlineLevel="0" collapsed="false">
      <c r="A1680" s="10" t="s">
        <v>252</v>
      </c>
      <c r="B1680" s="10"/>
      <c r="C1680" s="12" t="str">
        <f aca="false">'01 ADMIN_ORDER'!B46&amp;" / "&amp;'01 ADMIN_ORDER'!G46</f>
        <v>B-19 / Peru</v>
      </c>
      <c r="D1680" s="12"/>
      <c r="E1680" s="12"/>
      <c r="F1680" s="12"/>
      <c r="G1680" s="12"/>
      <c r="H1680" s="12"/>
    </row>
    <row r="1681" customFormat="false" ht="18" hidden="false" customHeight="true" outlineLevel="0" collapsed="false">
      <c r="A1681" s="10" t="s">
        <v>253</v>
      </c>
      <c r="B1681" s="10"/>
      <c r="C1681" s="13" t="str">
        <f aca="false">'01 ADMIN_ORDER'!I46&amp;" / "&amp;IF('04 KESIAPAN'!B46="","UOM BELUM DIISI",'04 KESIAPAN'!B46)</f>
        <v>564 / UOM BELUM DIISI</v>
      </c>
      <c r="D1681" s="13"/>
      <c r="E1681" s="13"/>
      <c r="F1681" s="13"/>
      <c r="G1681" s="13"/>
      <c r="H1681" s="13"/>
    </row>
    <row r="1682" customFormat="false" ht="18" hidden="false" customHeight="true" outlineLevel="0" collapsed="false">
      <c r="A1682" s="13" t="str">
        <f aca="false">IF('04 KESIAPAN'!C46="","SISTEM UKURAN BELUM DIISI",'04 KESIAPAN'!C46)&amp;" | Tanda -: "&amp;IF('04 KESIAPAN'!D46="","BELUM DIKONFIRMASI",'04 KESIAPAN'!D46)</f>
        <v>SISTEM UKURAN BELUM DIISI | Tanda -: BELUM DIKONFIRMASI</v>
      </c>
      <c r="B1682" s="13"/>
      <c r="C1682" s="13"/>
      <c r="D1682" s="13"/>
      <c r="E1682" s="13"/>
      <c r="F1682" s="13"/>
      <c r="G1682" s="13"/>
      <c r="H1682" s="13"/>
    </row>
    <row r="1683" customFormat="false" ht="18" hidden="false" customHeight="true" outlineLevel="0" collapsed="false">
      <c r="A1683" s="7" t="s">
        <v>254</v>
      </c>
      <c r="B1683" s="7"/>
      <c r="C1683" s="7"/>
      <c r="D1683" s="7"/>
      <c r="E1683" s="7"/>
      <c r="F1683" s="7"/>
      <c r="G1683" s="7"/>
      <c r="H1683" s="7"/>
    </row>
    <row r="1684" customFormat="false" ht="18" hidden="false" customHeight="true" outlineLevel="0" collapsed="false">
      <c r="A1684" s="14" t="s">
        <v>214</v>
      </c>
      <c r="B1684" s="0" t="n">
        <f aca="false">'02 SIZE_RUN'!D46</f>
        <v>0</v>
      </c>
      <c r="C1684" s="14" t="s">
        <v>215</v>
      </c>
      <c r="D1684" s="0" t="n">
        <f aca="false">'02 SIZE_RUN'!E46</f>
        <v>0</v>
      </c>
      <c r="E1684" s="14" t="s">
        <v>216</v>
      </c>
      <c r="F1684" s="0" t="n">
        <f aca="false">'02 SIZE_RUN'!F46</f>
        <v>0</v>
      </c>
      <c r="G1684" s="14" t="s">
        <v>217</v>
      </c>
      <c r="H1684" s="0" t="n">
        <f aca="false">'02 SIZE_RUN'!G46</f>
        <v>0</v>
      </c>
    </row>
    <row r="1685" customFormat="false" ht="18" hidden="false" customHeight="true" outlineLevel="0" collapsed="false">
      <c r="A1685" s="14" t="s">
        <v>218</v>
      </c>
      <c r="B1685" s="0" t="n">
        <f aca="false">'02 SIZE_RUN'!H46</f>
        <v>0</v>
      </c>
      <c r="C1685" s="14" t="s">
        <v>219</v>
      </c>
      <c r="D1685" s="0" t="n">
        <f aca="false">'02 SIZE_RUN'!I46</f>
        <v>0</v>
      </c>
      <c r="E1685" s="14" t="s">
        <v>220</v>
      </c>
      <c r="F1685" s="0" t="n">
        <f aca="false">'02 SIZE_RUN'!J46</f>
        <v>0</v>
      </c>
      <c r="G1685" s="14" t="s">
        <v>221</v>
      </c>
      <c r="H1685" s="0" t="n">
        <f aca="false">'02 SIZE_RUN'!K46</f>
        <v>0</v>
      </c>
    </row>
    <row r="1686" customFormat="false" ht="18" hidden="false" customHeight="true" outlineLevel="0" collapsed="false">
      <c r="A1686" s="14" t="s">
        <v>222</v>
      </c>
      <c r="B1686" s="0" t="n">
        <f aca="false">'02 SIZE_RUN'!L46</f>
        <v>47</v>
      </c>
      <c r="C1686" s="14" t="s">
        <v>223</v>
      </c>
      <c r="D1686" s="0" t="n">
        <f aca="false">'02 SIZE_RUN'!M46</f>
        <v>94</v>
      </c>
      <c r="E1686" s="14" t="s">
        <v>224</v>
      </c>
      <c r="F1686" s="0" t="n">
        <f aca="false">'02 SIZE_RUN'!N46</f>
        <v>124</v>
      </c>
      <c r="G1686" s="14" t="s">
        <v>225</v>
      </c>
      <c r="H1686" s="0" t="n">
        <f aca="false">'02 SIZE_RUN'!O46</f>
        <v>94</v>
      </c>
    </row>
    <row r="1687" customFormat="false" ht="18" hidden="false" customHeight="true" outlineLevel="0" collapsed="false">
      <c r="A1687" s="14" t="s">
        <v>226</v>
      </c>
      <c r="B1687" s="0" t="n">
        <f aca="false">'02 SIZE_RUN'!P46</f>
        <v>94</v>
      </c>
      <c r="C1687" s="14" t="s">
        <v>227</v>
      </c>
      <c r="D1687" s="0" t="n">
        <f aca="false">'02 SIZE_RUN'!Q46</f>
        <v>64</v>
      </c>
      <c r="E1687" s="14" t="s">
        <v>228</v>
      </c>
      <c r="F1687" s="0" t="n">
        <f aca="false">'02 SIZE_RUN'!R46</f>
        <v>47</v>
      </c>
      <c r="G1687" s="14" t="s">
        <v>229</v>
      </c>
      <c r="H1687" s="0" t="n">
        <f aca="false">'02 SIZE_RUN'!S46</f>
        <v>0</v>
      </c>
    </row>
    <row r="1688" customFormat="false" ht="18" hidden="false" customHeight="true" outlineLevel="0" collapsed="false">
      <c r="A1688" s="14" t="s">
        <v>230</v>
      </c>
      <c r="B1688" s="0" t="n">
        <f aca="false">'02 SIZE_RUN'!T46</f>
        <v>0</v>
      </c>
      <c r="C1688" s="14" t="s">
        <v>231</v>
      </c>
      <c r="D1688" s="0" t="n">
        <f aca="false">'02 SIZE_RUN'!U46</f>
        <v>0</v>
      </c>
      <c r="E1688" s="14" t="s">
        <v>232</v>
      </c>
      <c r="F1688" s="0" t="n">
        <f aca="false">'02 SIZE_RUN'!V46</f>
        <v>0</v>
      </c>
      <c r="G1688" s="14" t="s">
        <v>233</v>
      </c>
      <c r="H1688" s="0" t="n">
        <f aca="false">'02 SIZE_RUN'!W46</f>
        <v>0</v>
      </c>
    </row>
    <row r="1689" customFormat="false" ht="18" hidden="false" customHeight="true" outlineLevel="0" collapsed="false">
      <c r="A1689" s="14" t="s">
        <v>234</v>
      </c>
      <c r="B1689" s="0" t="n">
        <f aca="false">'02 SIZE_RUN'!X46</f>
        <v>0</v>
      </c>
      <c r="C1689" s="14" t="s">
        <v>235</v>
      </c>
      <c r="D1689" s="0" t="n">
        <f aca="false">'02 SIZE_RUN'!Y46</f>
        <v>0</v>
      </c>
      <c r="E1689" s="14" t="s">
        <v>236</v>
      </c>
      <c r="F1689" s="0" t="n">
        <f aca="false">'02 SIZE_RUN'!Z46</f>
        <v>0</v>
      </c>
      <c r="G1689" s="14" t="s">
        <v>237</v>
      </c>
      <c r="H1689" s="0" t="n">
        <f aca="false">'02 SIZE_RUN'!AA46</f>
        <v>0</v>
      </c>
    </row>
    <row r="1690" customFormat="false" ht="18" hidden="false" customHeight="true" outlineLevel="0" collapsed="false">
      <c r="A1690" s="14" t="s">
        <v>238</v>
      </c>
      <c r="B1690" s="0" t="n">
        <f aca="false">'02 SIZE_RUN'!AB46</f>
        <v>0</v>
      </c>
      <c r="C1690" s="14" t="s">
        <v>239</v>
      </c>
      <c r="D1690" s="0" t="n">
        <f aca="false">'02 SIZE_RUN'!AC46</f>
        <v>0</v>
      </c>
      <c r="E1690" s="14" t="s">
        <v>240</v>
      </c>
      <c r="F1690" s="0" t="n">
        <f aca="false">'02 SIZE_RUN'!AD46</f>
        <v>0</v>
      </c>
      <c r="G1690" s="14" t="s">
        <v>241</v>
      </c>
      <c r="H1690" s="0" t="n">
        <f aca="false">'02 SIZE_RUN'!AE46</f>
        <v>0</v>
      </c>
    </row>
    <row r="1691" customFormat="false" ht="18" hidden="false" customHeight="true" outlineLevel="0" collapsed="false">
      <c r="A1691" s="14" t="s">
        <v>242</v>
      </c>
      <c r="B1691" s="0" t="n">
        <f aca="false">'02 SIZE_RUN'!AF46</f>
        <v>0</v>
      </c>
    </row>
    <row r="1692" customFormat="false" ht="18" hidden="false" customHeight="true" outlineLevel="0" collapsed="false">
      <c r="A1692" s="10" t="str">
        <f aca="false">"TOTAL SIZE: "&amp;'02 SIZE_RUN'!AG46&amp;" | SELISIH: "&amp;'02 SIZE_RUN'!AH46</f>
        <v>TOTAL SIZE: 564 | SELISIH: 0</v>
      </c>
      <c r="B1692" s="10"/>
      <c r="C1692" s="10"/>
      <c r="D1692" s="10"/>
      <c r="E1692" s="10"/>
      <c r="F1692" s="10"/>
      <c r="G1692" s="10"/>
      <c r="H1692" s="10"/>
    </row>
    <row r="1693" customFormat="false" ht="18" hidden="false" customHeight="true" outlineLevel="0" collapsed="false">
      <c r="A1693" s="10" t="s">
        <v>255</v>
      </c>
      <c r="B1693" s="10"/>
      <c r="C1693" s="10"/>
      <c r="D1693" s="13" t="str">
        <f aca="false">IF('01 ADMIN_ORDER'!P46="","BELUM DITETAPKAN",TEXT('01 ADMIN_ORDER'!P46,"dd mmm yyyy"))</f>
        <v>BELUM DITETAPKAN</v>
      </c>
      <c r="E1693" s="13"/>
      <c r="F1693" s="13"/>
      <c r="G1693" s="13"/>
      <c r="H1693" s="13"/>
    </row>
    <row r="1694" customFormat="false" ht="18" hidden="false" customHeight="true" outlineLevel="0" collapsed="false">
      <c r="A1694" s="10" t="s">
        <v>256</v>
      </c>
      <c r="B1694" s="10"/>
      <c r="C1694" s="10"/>
      <c r="D1694" s="13" t="str">
        <f aca="false">IF('01 ADMIN_ORDER'!Q46="","BELUM DITETAPKAN",TEXT('01 ADMIN_ORDER'!Q46,"dd mmm yyyy"))</f>
        <v>BELUM DITETAPKAN</v>
      </c>
      <c r="E1694" s="13"/>
      <c r="F1694" s="13"/>
      <c r="G1694" s="13"/>
      <c r="H1694" s="13"/>
    </row>
    <row r="1695" customFormat="false" ht="25.5" hidden="false" customHeight="true" outlineLevel="0" collapsed="false">
      <c r="A1695" s="12" t="str">
        <f aca="false">"REFERENSI ASSEMBLY (bukan target upper): "&amp;TEXT('01 ADMIN_ORDER'!M46,"dd mmm yyyy")&amp;" - "&amp;TEXT('01 ADMIN_ORDER'!N46,"dd mmm yyyy")</f>
        <v>REFERENSI ASSEMBLY (bukan target upper): 06 Oct 2026 - 07 Oct 2026</v>
      </c>
      <c r="B1695" s="12"/>
      <c r="C1695" s="12"/>
      <c r="D1695" s="12"/>
      <c r="E1695" s="12"/>
      <c r="F1695" s="12"/>
      <c r="G1695" s="12"/>
      <c r="H1695" s="12"/>
    </row>
    <row r="1696" customFormat="false" ht="18" hidden="false" customHeight="true" outlineLevel="0" collapsed="false">
      <c r="A1696" s="10" t="s">
        <v>257</v>
      </c>
      <c r="B1696" s="10"/>
      <c r="C1696" s="10"/>
      <c r="D1696" s="13" t="str">
        <f aca="false">IF('04 KESIAPAN'!G46="","BELUM DIISI",'04 KESIAPAN'!G46)</f>
        <v>BELUM DIISI</v>
      </c>
      <c r="E1696" s="13"/>
      <c r="F1696" s="13"/>
      <c r="G1696" s="13"/>
      <c r="H1696" s="13"/>
    </row>
    <row r="1697" customFormat="false" ht="18" hidden="false" customHeight="true" outlineLevel="0" collapsed="false">
      <c r="A1697" s="10" t="s">
        <v>258</v>
      </c>
      <c r="B1697" s="10"/>
      <c r="C1697" s="10"/>
      <c r="D1697" s="13" t="str">
        <f aca="false">IF('04 KESIAPAN'!H46="","BELUM DIISI",'04 KESIAPAN'!H46)</f>
        <v>BELUM DIISI</v>
      </c>
      <c r="E1697" s="13"/>
      <c r="F1697" s="13"/>
      <c r="G1697" s="13"/>
      <c r="H1697" s="13"/>
    </row>
    <row r="1698" customFormat="false" ht="18" hidden="false" customHeight="true" outlineLevel="0" collapsed="false">
      <c r="A1698" s="10" t="s">
        <v>259</v>
      </c>
      <c r="B1698" s="10"/>
      <c r="C1698" s="10"/>
      <c r="D1698" s="13" t="str">
        <f aca="false">IF('04 KESIAPAN'!I46="","BELUM DIISI",'04 KESIAPAN'!I46)</f>
        <v>BELUM DIISI</v>
      </c>
      <c r="E1698" s="13"/>
      <c r="F1698" s="13"/>
      <c r="G1698" s="13"/>
      <c r="H1698" s="13"/>
    </row>
    <row r="1699" customFormat="false" ht="18" hidden="false" customHeight="true" outlineLevel="0" collapsed="false">
      <c r="A1699" s="10" t="s">
        <v>260</v>
      </c>
      <c r="B1699" s="10"/>
      <c r="C1699" s="10"/>
      <c r="D1699" s="13" t="str">
        <f aca="false">IF('04 KESIAPAN'!K46="","BELUM DIISI",'04 KESIAPAN'!K46)</f>
        <v>BELUM DIISI</v>
      </c>
      <c r="E1699" s="13"/>
      <c r="F1699" s="13"/>
      <c r="G1699" s="13"/>
      <c r="H1699" s="13"/>
    </row>
    <row r="1700" customFormat="false" ht="18" hidden="false" customHeight="true" outlineLevel="0" collapsed="false">
      <c r="A1700" s="10" t="s">
        <v>261</v>
      </c>
      <c r="B1700" s="10"/>
      <c r="C1700" s="10"/>
      <c r="D1700" s="13" t="str">
        <f aca="false">IF('04 KESIAPAN'!L46="","BELUM DIISI",'04 KESIAPAN'!L46)</f>
        <v>BELUM DIISI</v>
      </c>
      <c r="E1700" s="13"/>
      <c r="F1700" s="13"/>
      <c r="G1700" s="13"/>
      <c r="H1700" s="13"/>
    </row>
    <row r="1701" customFormat="false" ht="18" hidden="false" customHeight="true" outlineLevel="0" collapsed="false">
      <c r="A1701" s="10" t="s">
        <v>262</v>
      </c>
      <c r="B1701" s="10"/>
      <c r="C1701" s="10"/>
      <c r="D1701" s="13" t="str">
        <f aca="false">IF('04 KESIAPAN'!N46="","BELUM DIISI",'04 KESIAPAN'!N46)</f>
        <v>BELUM DIISI</v>
      </c>
      <c r="E1701" s="13"/>
      <c r="F1701" s="13"/>
      <c r="G1701" s="13"/>
      <c r="H1701" s="13"/>
    </row>
    <row r="1702" customFormat="false" ht="18" hidden="false" customHeight="true" outlineLevel="0" collapsed="false">
      <c r="A1702" s="10" t="s">
        <v>263</v>
      </c>
      <c r="B1702" s="10"/>
      <c r="C1702" s="10"/>
      <c r="D1702" s="13" t="str">
        <f aca="false">IF('04 KESIAPAN'!P46="","BELUM DIISI",'04 KESIAPAN'!P46)</f>
        <v>BELUM DIISI</v>
      </c>
      <c r="E1702" s="13"/>
      <c r="F1702" s="13"/>
      <c r="G1702" s="13"/>
      <c r="H1702" s="13"/>
    </row>
    <row r="1703" customFormat="false" ht="18" hidden="false" customHeight="true" outlineLevel="0" collapsed="false">
      <c r="A1703" s="7" t="s">
        <v>264</v>
      </c>
      <c r="B1703" s="7"/>
      <c r="C1703" s="7"/>
      <c r="D1703" s="7"/>
      <c r="E1703" s="7"/>
      <c r="F1703" s="7"/>
      <c r="G1703" s="7"/>
      <c r="H1703" s="7"/>
    </row>
    <row r="1704" customFormat="false" ht="18" hidden="false" customHeight="true" outlineLevel="0" collapsed="false">
      <c r="A1704" s="13"/>
      <c r="B1704" s="13"/>
      <c r="C1704" s="13"/>
      <c r="D1704" s="13"/>
      <c r="E1704" s="13"/>
      <c r="F1704" s="13"/>
      <c r="G1704" s="13"/>
      <c r="H1704" s="13"/>
    </row>
    <row r="1705" customFormat="false" ht="18" hidden="false" customHeight="true" outlineLevel="0" collapsed="false">
      <c r="A1705" s="13"/>
      <c r="B1705" s="13"/>
      <c r="C1705" s="13"/>
      <c r="D1705" s="13"/>
      <c r="E1705" s="13"/>
      <c r="F1705" s="13"/>
      <c r="G1705" s="13"/>
      <c r="H1705" s="13"/>
    </row>
    <row r="1706" customFormat="false" ht="18" hidden="false" customHeight="true" outlineLevel="0" collapsed="false">
      <c r="A1706" s="13"/>
      <c r="B1706" s="13"/>
      <c r="C1706" s="13"/>
      <c r="D1706" s="13"/>
      <c r="E1706" s="13"/>
      <c r="F1706" s="13"/>
      <c r="G1706" s="13"/>
      <c r="H1706" s="13"/>
    </row>
    <row r="1707" customFormat="false" ht="18" hidden="false" customHeight="true" outlineLevel="0" collapsed="false">
      <c r="A1707" s="12" t="s">
        <v>265</v>
      </c>
      <c r="B1707" s="12"/>
      <c r="C1707" s="12"/>
      <c r="D1707" s="12"/>
      <c r="E1707" s="12" t="s">
        <v>266</v>
      </c>
      <c r="F1707" s="12"/>
      <c r="G1707" s="12"/>
      <c r="H1707" s="12"/>
    </row>
    <row r="1708" customFormat="false" ht="18" hidden="false" customHeight="true" outlineLevel="0" collapsed="false">
      <c r="A1708" s="12" t="s">
        <v>311</v>
      </c>
      <c r="B1708" s="12"/>
      <c r="C1708" s="12"/>
      <c r="D1708" s="12"/>
      <c r="E1708" s="12"/>
      <c r="F1708" s="12"/>
      <c r="G1708" s="12"/>
      <c r="H1708" s="12"/>
    </row>
    <row r="1709" customFormat="false" ht="18" hidden="false" customHeight="true" outlineLevel="0" collapsed="false"/>
    <row r="1710" customFormat="false" ht="18" hidden="false" customHeight="true" outlineLevel="0" collapsed="false"/>
    <row r="1711" customFormat="false" ht="25.5" hidden="false" customHeight="true" outlineLevel="0" collapsed="false">
      <c r="A1711" s="7" t="s">
        <v>246</v>
      </c>
      <c r="B1711" s="7"/>
      <c r="C1711" s="7"/>
      <c r="D1711" s="7"/>
      <c r="E1711" s="7"/>
      <c r="F1711" s="7"/>
      <c r="G1711" s="7"/>
      <c r="H1711" s="7"/>
    </row>
    <row r="1712" customFormat="false" ht="18" hidden="false" customHeight="true" outlineLevel="0" collapsed="false">
      <c r="A1712" s="8" t="str">
        <f aca="false">'01 ADMIN_ORDER'!R47</f>
        <v>DRAFT - PERLU VERIFIKASI</v>
      </c>
      <c r="B1712" s="8"/>
      <c r="C1712" s="8"/>
      <c r="D1712" s="8"/>
      <c r="E1712" s="8"/>
      <c r="F1712" s="8"/>
      <c r="G1712" s="8"/>
      <c r="H1712" s="8"/>
    </row>
    <row r="1713" customFormat="false" ht="18" hidden="false" customHeight="true" outlineLevel="0" collapsed="false">
      <c r="A1713" s="9" t="s">
        <v>247</v>
      </c>
      <c r="B1713" s="9"/>
      <c r="C1713" s="9"/>
      <c r="D1713" s="9"/>
      <c r="E1713" s="9"/>
      <c r="F1713" s="9"/>
      <c r="G1713" s="9"/>
      <c r="H1713" s="9"/>
    </row>
    <row r="1714" customFormat="false" ht="18" hidden="false" customHeight="true" outlineLevel="0" collapsed="false">
      <c r="A1714" s="10" t="s">
        <v>248</v>
      </c>
      <c r="B1714" s="10"/>
      <c r="C1714" s="11" t="str">
        <f aca="false">'01 ADMIN_ORDER'!A47</f>
        <v>182/10/46 (59)</v>
      </c>
      <c r="D1714" s="11"/>
      <c r="E1714" s="11"/>
      <c r="F1714" s="11"/>
      <c r="G1714" s="11"/>
      <c r="H1714" s="11"/>
    </row>
    <row r="1715" customFormat="false" ht="18" hidden="false" customHeight="true" outlineLevel="0" collapsed="false">
      <c r="A1715" s="10" t="s">
        <v>249</v>
      </c>
      <c r="B1715" s="10"/>
      <c r="C1715" s="12" t="str">
        <f aca="false">'01 ADMIN_ORDER'!C47&amp;" / "&amp;'01 ADMIN_ORDER'!D47</f>
        <v>FRONTCOURT LOW / LA6614</v>
      </c>
      <c r="D1715" s="12"/>
      <c r="E1715" s="12"/>
      <c r="F1715" s="12"/>
      <c r="G1715" s="12"/>
      <c r="H1715" s="12"/>
    </row>
    <row r="1716" customFormat="false" ht="18" hidden="false" customHeight="true" outlineLevel="0" collapsed="false">
      <c r="A1716" s="10" t="s">
        <v>250</v>
      </c>
      <c r="B1716" s="10"/>
      <c r="C1716" s="12" t="str">
        <f aca="false">'01 ADMIN_ORDER'!E47</f>
        <v>903399168</v>
      </c>
      <c r="D1716" s="12"/>
      <c r="E1716" s="12"/>
      <c r="F1716" s="12"/>
      <c r="G1716" s="12"/>
      <c r="H1716" s="12"/>
    </row>
    <row r="1717" customFormat="false" ht="27.75" hidden="false" customHeight="true" outlineLevel="0" collapsed="false">
      <c r="A1717" s="10" t="s">
        <v>251</v>
      </c>
      <c r="B1717" s="10"/>
      <c r="C1717" s="12" t="str">
        <f aca="false">'01 ADMIN_ORDER'!H47</f>
        <v>CORE BLACK/FTWR WHITE/GUM M2</v>
      </c>
      <c r="D1717" s="12"/>
      <c r="E1717" s="12"/>
      <c r="F1717" s="12"/>
      <c r="G1717" s="12"/>
      <c r="H1717" s="12"/>
    </row>
    <row r="1718" customFormat="false" ht="18" hidden="false" customHeight="true" outlineLevel="0" collapsed="false">
      <c r="A1718" s="10" t="s">
        <v>252</v>
      </c>
      <c r="B1718" s="10"/>
      <c r="C1718" s="12" t="str">
        <f aca="false">'01 ADMIN_ORDER'!B47&amp;" / "&amp;'01 ADMIN_ORDER'!G47</f>
        <v>B-19 / Brazil</v>
      </c>
      <c r="D1718" s="12"/>
      <c r="E1718" s="12"/>
      <c r="F1718" s="12"/>
      <c r="G1718" s="12"/>
      <c r="H1718" s="12"/>
    </row>
    <row r="1719" customFormat="false" ht="18" hidden="false" customHeight="true" outlineLevel="0" collapsed="false">
      <c r="A1719" s="10" t="s">
        <v>253</v>
      </c>
      <c r="B1719" s="10"/>
      <c r="C1719" s="13" t="str">
        <f aca="false">'01 ADMIN_ORDER'!I47&amp;" / "&amp;IF('04 KESIAPAN'!B47="","UOM BELUM DIISI",'04 KESIAPAN'!B47)</f>
        <v>983 / UOM BELUM DIISI</v>
      </c>
      <c r="D1719" s="13"/>
      <c r="E1719" s="13"/>
      <c r="F1719" s="13"/>
      <c r="G1719" s="13"/>
      <c r="H1719" s="13"/>
    </row>
    <row r="1720" customFormat="false" ht="18" hidden="false" customHeight="true" outlineLevel="0" collapsed="false">
      <c r="A1720" s="13" t="str">
        <f aca="false">IF('04 KESIAPAN'!C47="","SISTEM UKURAN BELUM DIISI",'04 KESIAPAN'!C47)&amp;" | Tanda -: "&amp;IF('04 KESIAPAN'!D47="","BELUM DIKONFIRMASI",'04 KESIAPAN'!D47)</f>
        <v>SISTEM UKURAN BELUM DIISI | Tanda -: BELUM DIKONFIRMASI</v>
      </c>
      <c r="B1720" s="13"/>
      <c r="C1720" s="13"/>
      <c r="D1720" s="13"/>
      <c r="E1720" s="13"/>
      <c r="F1720" s="13"/>
      <c r="G1720" s="13"/>
      <c r="H1720" s="13"/>
    </row>
    <row r="1721" customFormat="false" ht="18" hidden="false" customHeight="true" outlineLevel="0" collapsed="false">
      <c r="A1721" s="7" t="s">
        <v>254</v>
      </c>
      <c r="B1721" s="7"/>
      <c r="C1721" s="7"/>
      <c r="D1721" s="7"/>
      <c r="E1721" s="7"/>
      <c r="F1721" s="7"/>
      <c r="G1721" s="7"/>
      <c r="H1721" s="7"/>
    </row>
    <row r="1722" customFormat="false" ht="18" hidden="false" customHeight="true" outlineLevel="0" collapsed="false">
      <c r="A1722" s="14" t="s">
        <v>214</v>
      </c>
      <c r="B1722" s="0" t="n">
        <f aca="false">'02 SIZE_RUN'!D47</f>
        <v>0</v>
      </c>
      <c r="C1722" s="14" t="s">
        <v>215</v>
      </c>
      <c r="D1722" s="0" t="n">
        <f aca="false">'02 SIZE_RUN'!E47</f>
        <v>0</v>
      </c>
      <c r="E1722" s="14" t="s">
        <v>216</v>
      </c>
      <c r="F1722" s="0" t="n">
        <f aca="false">'02 SIZE_RUN'!F47</f>
        <v>0</v>
      </c>
      <c r="G1722" s="14" t="s">
        <v>217</v>
      </c>
      <c r="H1722" s="0" t="n">
        <f aca="false">'02 SIZE_RUN'!G47</f>
        <v>0</v>
      </c>
    </row>
    <row r="1723" customFormat="false" ht="18" hidden="false" customHeight="true" outlineLevel="0" collapsed="false">
      <c r="A1723" s="14" t="s">
        <v>218</v>
      </c>
      <c r="B1723" s="0" t="n">
        <f aca="false">'02 SIZE_RUN'!H47</f>
        <v>0</v>
      </c>
      <c r="C1723" s="14" t="s">
        <v>219</v>
      </c>
      <c r="D1723" s="0" t="n">
        <f aca="false">'02 SIZE_RUN'!I47</f>
        <v>0</v>
      </c>
      <c r="E1723" s="14" t="s">
        <v>220</v>
      </c>
      <c r="F1723" s="0" t="n">
        <f aca="false">'02 SIZE_RUN'!J47</f>
        <v>73</v>
      </c>
      <c r="G1723" s="14" t="s">
        <v>221</v>
      </c>
      <c r="H1723" s="0" t="n">
        <f aca="false">'02 SIZE_RUN'!K47</f>
        <v>80</v>
      </c>
    </row>
    <row r="1724" customFormat="false" ht="18" hidden="false" customHeight="true" outlineLevel="0" collapsed="false">
      <c r="A1724" s="14" t="s">
        <v>222</v>
      </c>
      <c r="B1724" s="0" t="n">
        <f aca="false">'02 SIZE_RUN'!L47</f>
        <v>158</v>
      </c>
      <c r="C1724" s="14" t="s">
        <v>223</v>
      </c>
      <c r="D1724" s="0" t="n">
        <f aca="false">'02 SIZE_RUN'!M47</f>
        <v>0</v>
      </c>
      <c r="E1724" s="14" t="s">
        <v>224</v>
      </c>
      <c r="F1724" s="0" t="n">
        <f aca="false">'02 SIZE_RUN'!N47</f>
        <v>238</v>
      </c>
      <c r="G1724" s="14" t="s">
        <v>225</v>
      </c>
      <c r="H1724" s="0" t="n">
        <f aca="false">'02 SIZE_RUN'!O47</f>
        <v>0</v>
      </c>
    </row>
    <row r="1725" customFormat="false" ht="18" hidden="false" customHeight="true" outlineLevel="0" collapsed="false">
      <c r="A1725" s="14" t="s">
        <v>226</v>
      </c>
      <c r="B1725" s="0" t="n">
        <f aca="false">'02 SIZE_RUN'!P47</f>
        <v>172</v>
      </c>
      <c r="C1725" s="14" t="s">
        <v>227</v>
      </c>
      <c r="D1725" s="0" t="n">
        <f aca="false">'02 SIZE_RUN'!Q47</f>
        <v>165</v>
      </c>
      <c r="E1725" s="14" t="s">
        <v>228</v>
      </c>
      <c r="F1725" s="0" t="n">
        <f aca="false">'02 SIZE_RUN'!R47</f>
        <v>0</v>
      </c>
      <c r="G1725" s="14" t="s">
        <v>229</v>
      </c>
      <c r="H1725" s="0" t="n">
        <f aca="false">'02 SIZE_RUN'!S47</f>
        <v>85</v>
      </c>
    </row>
    <row r="1726" customFormat="false" ht="18" hidden="false" customHeight="true" outlineLevel="0" collapsed="false">
      <c r="A1726" s="14" t="s">
        <v>230</v>
      </c>
      <c r="B1726" s="0" t="n">
        <f aca="false">'02 SIZE_RUN'!T47</f>
        <v>0</v>
      </c>
      <c r="C1726" s="14" t="s">
        <v>231</v>
      </c>
      <c r="D1726" s="0" t="n">
        <f aca="false">'02 SIZE_RUN'!U47</f>
        <v>11</v>
      </c>
      <c r="E1726" s="14" t="s">
        <v>232</v>
      </c>
      <c r="F1726" s="0" t="n">
        <f aca="false">'02 SIZE_RUN'!V47</f>
        <v>1</v>
      </c>
      <c r="G1726" s="14" t="s">
        <v>233</v>
      </c>
      <c r="H1726" s="0" t="n">
        <f aca="false">'02 SIZE_RUN'!W47</f>
        <v>0</v>
      </c>
    </row>
    <row r="1727" customFormat="false" ht="18" hidden="false" customHeight="true" outlineLevel="0" collapsed="false">
      <c r="A1727" s="14" t="s">
        <v>234</v>
      </c>
      <c r="B1727" s="0" t="n">
        <f aca="false">'02 SIZE_RUN'!X47</f>
        <v>0</v>
      </c>
      <c r="C1727" s="14" t="s">
        <v>235</v>
      </c>
      <c r="D1727" s="0" t="n">
        <f aca="false">'02 SIZE_RUN'!Y47</f>
        <v>0</v>
      </c>
      <c r="E1727" s="14" t="s">
        <v>236</v>
      </c>
      <c r="F1727" s="0" t="n">
        <f aca="false">'02 SIZE_RUN'!Z47</f>
        <v>0</v>
      </c>
      <c r="G1727" s="14" t="s">
        <v>237</v>
      </c>
      <c r="H1727" s="0" t="n">
        <f aca="false">'02 SIZE_RUN'!AA47</f>
        <v>0</v>
      </c>
    </row>
    <row r="1728" customFormat="false" ht="18" hidden="false" customHeight="true" outlineLevel="0" collapsed="false">
      <c r="A1728" s="14" t="s">
        <v>238</v>
      </c>
      <c r="B1728" s="0" t="n">
        <f aca="false">'02 SIZE_RUN'!AB47</f>
        <v>0</v>
      </c>
      <c r="C1728" s="14" t="s">
        <v>239</v>
      </c>
      <c r="D1728" s="0" t="n">
        <f aca="false">'02 SIZE_RUN'!AC47</f>
        <v>0</v>
      </c>
      <c r="E1728" s="14" t="s">
        <v>240</v>
      </c>
      <c r="F1728" s="0" t="n">
        <f aca="false">'02 SIZE_RUN'!AD47</f>
        <v>0</v>
      </c>
      <c r="G1728" s="14" t="s">
        <v>241</v>
      </c>
      <c r="H1728" s="0" t="n">
        <f aca="false">'02 SIZE_RUN'!AE47</f>
        <v>0</v>
      </c>
    </row>
    <row r="1729" customFormat="false" ht="18" hidden="false" customHeight="true" outlineLevel="0" collapsed="false">
      <c r="A1729" s="14" t="s">
        <v>242</v>
      </c>
      <c r="B1729" s="0" t="n">
        <f aca="false">'02 SIZE_RUN'!AF47</f>
        <v>0</v>
      </c>
    </row>
    <row r="1730" customFormat="false" ht="18" hidden="false" customHeight="true" outlineLevel="0" collapsed="false">
      <c r="A1730" s="10" t="str">
        <f aca="false">"TOTAL SIZE: "&amp;'02 SIZE_RUN'!AG47&amp;" | SELISIH: "&amp;'02 SIZE_RUN'!AH47</f>
        <v>TOTAL SIZE: 983 | SELISIH: 0</v>
      </c>
      <c r="B1730" s="10"/>
      <c r="C1730" s="10"/>
      <c r="D1730" s="10"/>
      <c r="E1730" s="10"/>
      <c r="F1730" s="10"/>
      <c r="G1730" s="10"/>
      <c r="H1730" s="10"/>
    </row>
    <row r="1731" customFormat="false" ht="18" hidden="false" customHeight="true" outlineLevel="0" collapsed="false">
      <c r="A1731" s="10" t="s">
        <v>255</v>
      </c>
      <c r="B1731" s="10"/>
      <c r="C1731" s="10"/>
      <c r="D1731" s="13" t="str">
        <f aca="false">IF('01 ADMIN_ORDER'!P47="","BELUM DITETAPKAN",TEXT('01 ADMIN_ORDER'!P47,"dd mmm yyyy"))</f>
        <v>BELUM DITETAPKAN</v>
      </c>
      <c r="E1731" s="13"/>
      <c r="F1731" s="13"/>
      <c r="G1731" s="13"/>
      <c r="H1731" s="13"/>
    </row>
    <row r="1732" customFormat="false" ht="18" hidden="false" customHeight="true" outlineLevel="0" collapsed="false">
      <c r="A1732" s="10" t="s">
        <v>256</v>
      </c>
      <c r="B1732" s="10"/>
      <c r="C1732" s="10"/>
      <c r="D1732" s="13" t="str">
        <f aca="false">IF('01 ADMIN_ORDER'!Q47="","BELUM DITETAPKAN",TEXT('01 ADMIN_ORDER'!Q47,"dd mmm yyyy"))</f>
        <v>BELUM DITETAPKAN</v>
      </c>
      <c r="E1732" s="13"/>
      <c r="F1732" s="13"/>
      <c r="G1732" s="13"/>
      <c r="H1732" s="13"/>
    </row>
    <row r="1733" customFormat="false" ht="25.5" hidden="false" customHeight="true" outlineLevel="0" collapsed="false">
      <c r="A1733" s="12" t="str">
        <f aca="false">"REFERENSI ASSEMBLY (bukan target upper): "&amp;TEXT('01 ADMIN_ORDER'!M47,"dd mmm yyyy")&amp;" - "&amp;TEXT('01 ADMIN_ORDER'!N47,"dd mmm yyyy")</f>
        <v>REFERENSI ASSEMBLY (bukan target upper): 07 Oct 2026 - 08 Oct 2026</v>
      </c>
      <c r="B1733" s="12"/>
      <c r="C1733" s="12"/>
      <c r="D1733" s="12"/>
      <c r="E1733" s="12"/>
      <c r="F1733" s="12"/>
      <c r="G1733" s="12"/>
      <c r="H1733" s="12"/>
    </row>
    <row r="1734" customFormat="false" ht="18" hidden="false" customHeight="true" outlineLevel="0" collapsed="false">
      <c r="A1734" s="10" t="s">
        <v>257</v>
      </c>
      <c r="B1734" s="10"/>
      <c r="C1734" s="10"/>
      <c r="D1734" s="13" t="str">
        <f aca="false">IF('04 KESIAPAN'!G47="","BELUM DIISI",'04 KESIAPAN'!G47)</f>
        <v>BELUM DIISI</v>
      </c>
      <c r="E1734" s="13"/>
      <c r="F1734" s="13"/>
      <c r="G1734" s="13"/>
      <c r="H1734" s="13"/>
    </row>
    <row r="1735" customFormat="false" ht="18" hidden="false" customHeight="true" outlineLevel="0" collapsed="false">
      <c r="A1735" s="10" t="s">
        <v>258</v>
      </c>
      <c r="B1735" s="10"/>
      <c r="C1735" s="10"/>
      <c r="D1735" s="13" t="str">
        <f aca="false">IF('04 KESIAPAN'!H47="","BELUM DIISI",'04 KESIAPAN'!H47)</f>
        <v>BELUM DIISI</v>
      </c>
      <c r="E1735" s="13"/>
      <c r="F1735" s="13"/>
      <c r="G1735" s="13"/>
      <c r="H1735" s="13"/>
    </row>
    <row r="1736" customFormat="false" ht="18" hidden="false" customHeight="true" outlineLevel="0" collapsed="false">
      <c r="A1736" s="10" t="s">
        <v>259</v>
      </c>
      <c r="B1736" s="10"/>
      <c r="C1736" s="10"/>
      <c r="D1736" s="13" t="str">
        <f aca="false">IF('04 KESIAPAN'!I47="","BELUM DIISI",'04 KESIAPAN'!I47)</f>
        <v>BELUM DIISI</v>
      </c>
      <c r="E1736" s="13"/>
      <c r="F1736" s="13"/>
      <c r="G1736" s="13"/>
      <c r="H1736" s="13"/>
    </row>
    <row r="1737" customFormat="false" ht="18" hidden="false" customHeight="true" outlineLevel="0" collapsed="false">
      <c r="A1737" s="10" t="s">
        <v>260</v>
      </c>
      <c r="B1737" s="10"/>
      <c r="C1737" s="10"/>
      <c r="D1737" s="13" t="str">
        <f aca="false">IF('04 KESIAPAN'!K47="","BELUM DIISI",'04 KESIAPAN'!K47)</f>
        <v>BELUM DIISI</v>
      </c>
      <c r="E1737" s="13"/>
      <c r="F1737" s="13"/>
      <c r="G1737" s="13"/>
      <c r="H1737" s="13"/>
    </row>
    <row r="1738" customFormat="false" ht="18" hidden="false" customHeight="true" outlineLevel="0" collapsed="false">
      <c r="A1738" s="10" t="s">
        <v>261</v>
      </c>
      <c r="B1738" s="10"/>
      <c r="C1738" s="10"/>
      <c r="D1738" s="13" t="str">
        <f aca="false">IF('04 KESIAPAN'!L47="","BELUM DIISI",'04 KESIAPAN'!L47)</f>
        <v>BELUM DIISI</v>
      </c>
      <c r="E1738" s="13"/>
      <c r="F1738" s="13"/>
      <c r="G1738" s="13"/>
      <c r="H1738" s="13"/>
    </row>
    <row r="1739" customFormat="false" ht="18" hidden="false" customHeight="true" outlineLevel="0" collapsed="false">
      <c r="A1739" s="10" t="s">
        <v>262</v>
      </c>
      <c r="B1739" s="10"/>
      <c r="C1739" s="10"/>
      <c r="D1739" s="13" t="str">
        <f aca="false">IF('04 KESIAPAN'!N47="","BELUM DIISI",'04 KESIAPAN'!N47)</f>
        <v>BELUM DIISI</v>
      </c>
      <c r="E1739" s="13"/>
      <c r="F1739" s="13"/>
      <c r="G1739" s="13"/>
      <c r="H1739" s="13"/>
    </row>
    <row r="1740" customFormat="false" ht="18" hidden="false" customHeight="true" outlineLevel="0" collapsed="false">
      <c r="A1740" s="10" t="s">
        <v>263</v>
      </c>
      <c r="B1740" s="10"/>
      <c r="C1740" s="10"/>
      <c r="D1740" s="13" t="str">
        <f aca="false">IF('04 KESIAPAN'!P47="","BELUM DIISI",'04 KESIAPAN'!P47)</f>
        <v>BELUM DIISI</v>
      </c>
      <c r="E1740" s="13"/>
      <c r="F1740" s="13"/>
      <c r="G1740" s="13"/>
      <c r="H1740" s="13"/>
    </row>
    <row r="1741" customFormat="false" ht="18" hidden="false" customHeight="true" outlineLevel="0" collapsed="false">
      <c r="A1741" s="7" t="s">
        <v>264</v>
      </c>
      <c r="B1741" s="7"/>
      <c r="C1741" s="7"/>
      <c r="D1741" s="7"/>
      <c r="E1741" s="7"/>
      <c r="F1741" s="7"/>
      <c r="G1741" s="7"/>
      <c r="H1741" s="7"/>
    </row>
    <row r="1742" customFormat="false" ht="18" hidden="false" customHeight="true" outlineLevel="0" collapsed="false">
      <c r="A1742" s="13"/>
      <c r="B1742" s="13"/>
      <c r="C1742" s="13"/>
      <c r="D1742" s="13"/>
      <c r="E1742" s="13"/>
      <c r="F1742" s="13"/>
      <c r="G1742" s="13"/>
      <c r="H1742" s="13"/>
    </row>
    <row r="1743" customFormat="false" ht="18" hidden="false" customHeight="true" outlineLevel="0" collapsed="false">
      <c r="A1743" s="13"/>
      <c r="B1743" s="13"/>
      <c r="C1743" s="13"/>
      <c r="D1743" s="13"/>
      <c r="E1743" s="13"/>
      <c r="F1743" s="13"/>
      <c r="G1743" s="13"/>
      <c r="H1743" s="13"/>
    </row>
    <row r="1744" customFormat="false" ht="18" hidden="false" customHeight="true" outlineLevel="0" collapsed="false">
      <c r="A1744" s="13"/>
      <c r="B1744" s="13"/>
      <c r="C1744" s="13"/>
      <c r="D1744" s="13"/>
      <c r="E1744" s="13"/>
      <c r="F1744" s="13"/>
      <c r="G1744" s="13"/>
      <c r="H1744" s="13"/>
    </row>
    <row r="1745" customFormat="false" ht="18" hidden="false" customHeight="true" outlineLevel="0" collapsed="false">
      <c r="A1745" s="12" t="s">
        <v>265</v>
      </c>
      <c r="B1745" s="12"/>
      <c r="C1745" s="12"/>
      <c r="D1745" s="12"/>
      <c r="E1745" s="12" t="s">
        <v>266</v>
      </c>
      <c r="F1745" s="12"/>
      <c r="G1745" s="12"/>
      <c r="H1745" s="12"/>
    </row>
    <row r="1746" customFormat="false" ht="18" hidden="false" customHeight="true" outlineLevel="0" collapsed="false">
      <c r="A1746" s="12" t="s">
        <v>312</v>
      </c>
      <c r="B1746" s="12"/>
      <c r="C1746" s="12"/>
      <c r="D1746" s="12"/>
      <c r="E1746" s="12"/>
      <c r="F1746" s="12"/>
      <c r="G1746" s="12"/>
      <c r="H1746" s="12"/>
    </row>
    <row r="1747" customFormat="false" ht="18" hidden="false" customHeight="true" outlineLevel="0" collapsed="false"/>
    <row r="1748" customFormat="false" ht="18" hidden="false" customHeight="true" outlineLevel="0" collapsed="false"/>
    <row r="1749" customFormat="false" ht="25.5" hidden="false" customHeight="true" outlineLevel="0" collapsed="false">
      <c r="A1749" s="7" t="s">
        <v>246</v>
      </c>
      <c r="B1749" s="7"/>
      <c r="C1749" s="7"/>
      <c r="D1749" s="7"/>
      <c r="E1749" s="7"/>
      <c r="F1749" s="7"/>
      <c r="G1749" s="7"/>
      <c r="H1749" s="7"/>
    </row>
    <row r="1750" customFormat="false" ht="18" hidden="false" customHeight="true" outlineLevel="0" collapsed="false">
      <c r="A1750" s="8" t="str">
        <f aca="false">'01 ADMIN_ORDER'!R48</f>
        <v>DRAFT - PERLU VERIFIKASI</v>
      </c>
      <c r="B1750" s="8"/>
      <c r="C1750" s="8"/>
      <c r="D1750" s="8"/>
      <c r="E1750" s="8"/>
      <c r="F1750" s="8"/>
      <c r="G1750" s="8"/>
      <c r="H1750" s="8"/>
    </row>
    <row r="1751" customFormat="false" ht="18" hidden="false" customHeight="true" outlineLevel="0" collapsed="false">
      <c r="A1751" s="9" t="s">
        <v>247</v>
      </c>
      <c r="B1751" s="9"/>
      <c r="C1751" s="9"/>
      <c r="D1751" s="9"/>
      <c r="E1751" s="9"/>
      <c r="F1751" s="9"/>
      <c r="G1751" s="9"/>
      <c r="H1751" s="9"/>
    </row>
    <row r="1752" customFormat="false" ht="18" hidden="false" customHeight="true" outlineLevel="0" collapsed="false">
      <c r="A1752" s="10" t="s">
        <v>248</v>
      </c>
      <c r="B1752" s="10"/>
      <c r="C1752" s="11" t="str">
        <f aca="false">'01 ADMIN_ORDER'!A48</f>
        <v>183/10/47 (59)</v>
      </c>
      <c r="D1752" s="11"/>
      <c r="E1752" s="11"/>
      <c r="F1752" s="11"/>
      <c r="G1752" s="11"/>
      <c r="H1752" s="11"/>
    </row>
    <row r="1753" customFormat="false" ht="18" hidden="false" customHeight="true" outlineLevel="0" collapsed="false">
      <c r="A1753" s="10" t="s">
        <v>249</v>
      </c>
      <c r="B1753" s="10"/>
      <c r="C1753" s="12" t="str">
        <f aca="false">'01 ADMIN_ORDER'!C48&amp;" / "&amp;'01 ADMIN_ORDER'!D48</f>
        <v>FRONTCOURT LOW / LA6614</v>
      </c>
      <c r="D1753" s="12"/>
      <c r="E1753" s="12"/>
      <c r="F1753" s="12"/>
      <c r="G1753" s="12"/>
      <c r="H1753" s="12"/>
    </row>
    <row r="1754" customFormat="false" ht="18" hidden="false" customHeight="true" outlineLevel="0" collapsed="false">
      <c r="A1754" s="10" t="s">
        <v>250</v>
      </c>
      <c r="B1754" s="10"/>
      <c r="C1754" s="12" t="str">
        <f aca="false">'01 ADMIN_ORDER'!E48</f>
        <v>903150550</v>
      </c>
      <c r="D1754" s="12"/>
      <c r="E1754" s="12"/>
      <c r="F1754" s="12"/>
      <c r="G1754" s="12"/>
      <c r="H1754" s="12"/>
    </row>
    <row r="1755" customFormat="false" ht="27.75" hidden="false" customHeight="true" outlineLevel="0" collapsed="false">
      <c r="A1755" s="10" t="s">
        <v>251</v>
      </c>
      <c r="B1755" s="10"/>
      <c r="C1755" s="12" t="str">
        <f aca="false">'01 ADMIN_ORDER'!H48</f>
        <v>CORE BLACK/FTWR WHITE/GUM M2</v>
      </c>
      <c r="D1755" s="12"/>
      <c r="E1755" s="12"/>
      <c r="F1755" s="12"/>
      <c r="G1755" s="12"/>
      <c r="H1755" s="12"/>
    </row>
    <row r="1756" customFormat="false" ht="18" hidden="false" customHeight="true" outlineLevel="0" collapsed="false">
      <c r="A1756" s="10" t="s">
        <v>252</v>
      </c>
      <c r="B1756" s="10"/>
      <c r="C1756" s="12" t="str">
        <f aca="false">'01 ADMIN_ORDER'!B48&amp;" / "&amp;'01 ADMIN_ORDER'!G48</f>
        <v>B-19 / Spain</v>
      </c>
      <c r="D1756" s="12"/>
      <c r="E1756" s="12"/>
      <c r="F1756" s="12"/>
      <c r="G1756" s="12"/>
      <c r="H1756" s="12"/>
    </row>
    <row r="1757" customFormat="false" ht="18" hidden="false" customHeight="true" outlineLevel="0" collapsed="false">
      <c r="A1757" s="10" t="s">
        <v>253</v>
      </c>
      <c r="B1757" s="10"/>
      <c r="C1757" s="13" t="str">
        <f aca="false">'01 ADMIN_ORDER'!I48&amp;" / "&amp;IF('04 KESIAPAN'!B48="","UOM BELUM DIISI",'04 KESIAPAN'!B48)</f>
        <v>1470 / UOM BELUM DIISI</v>
      </c>
      <c r="D1757" s="13"/>
      <c r="E1757" s="13"/>
      <c r="F1757" s="13"/>
      <c r="G1757" s="13"/>
      <c r="H1757" s="13"/>
    </row>
    <row r="1758" customFormat="false" ht="18" hidden="false" customHeight="true" outlineLevel="0" collapsed="false">
      <c r="A1758" s="13" t="str">
        <f aca="false">IF('04 KESIAPAN'!C48="","SISTEM UKURAN BELUM DIISI",'04 KESIAPAN'!C48)&amp;" | Tanda -: "&amp;IF('04 KESIAPAN'!D48="","BELUM DIKONFIRMASI",'04 KESIAPAN'!D48)</f>
        <v>SISTEM UKURAN BELUM DIISI | Tanda -: BELUM DIKONFIRMASI</v>
      </c>
      <c r="B1758" s="13"/>
      <c r="C1758" s="13"/>
      <c r="D1758" s="13"/>
      <c r="E1758" s="13"/>
      <c r="F1758" s="13"/>
      <c r="G1758" s="13"/>
      <c r="H1758" s="13"/>
    </row>
    <row r="1759" customFormat="false" ht="18" hidden="false" customHeight="true" outlineLevel="0" collapsed="false">
      <c r="A1759" s="7" t="s">
        <v>254</v>
      </c>
      <c r="B1759" s="7"/>
      <c r="C1759" s="7"/>
      <c r="D1759" s="7"/>
      <c r="E1759" s="7"/>
      <c r="F1759" s="7"/>
      <c r="G1759" s="7"/>
      <c r="H1759" s="7"/>
    </row>
    <row r="1760" customFormat="false" ht="18" hidden="false" customHeight="true" outlineLevel="0" collapsed="false">
      <c r="A1760" s="14" t="s">
        <v>214</v>
      </c>
      <c r="B1760" s="0" t="n">
        <f aca="false">'02 SIZE_RUN'!D48</f>
        <v>0</v>
      </c>
      <c r="C1760" s="14" t="s">
        <v>215</v>
      </c>
      <c r="D1760" s="0" t="n">
        <f aca="false">'02 SIZE_RUN'!E48</f>
        <v>0</v>
      </c>
      <c r="E1760" s="14" t="s">
        <v>216</v>
      </c>
      <c r="F1760" s="0" t="n">
        <f aca="false">'02 SIZE_RUN'!F48</f>
        <v>0</v>
      </c>
      <c r="G1760" s="14" t="s">
        <v>217</v>
      </c>
      <c r="H1760" s="0" t="n">
        <f aca="false">'02 SIZE_RUN'!G48</f>
        <v>0</v>
      </c>
    </row>
    <row r="1761" customFormat="false" ht="18" hidden="false" customHeight="true" outlineLevel="0" collapsed="false">
      <c r="A1761" s="14" t="s">
        <v>218</v>
      </c>
      <c r="B1761" s="0" t="n">
        <f aca="false">'02 SIZE_RUN'!H48</f>
        <v>0</v>
      </c>
      <c r="C1761" s="14" t="s">
        <v>219</v>
      </c>
      <c r="D1761" s="0" t="n">
        <f aca="false">'02 SIZE_RUN'!I48</f>
        <v>0</v>
      </c>
      <c r="E1761" s="14" t="s">
        <v>220</v>
      </c>
      <c r="F1761" s="0" t="n">
        <f aca="false">'02 SIZE_RUN'!J48</f>
        <v>0</v>
      </c>
      <c r="G1761" s="14" t="s">
        <v>221</v>
      </c>
      <c r="H1761" s="0" t="n">
        <f aca="false">'02 SIZE_RUN'!K48</f>
        <v>0</v>
      </c>
    </row>
    <row r="1762" customFormat="false" ht="18" hidden="false" customHeight="true" outlineLevel="0" collapsed="false">
      <c r="A1762" s="14" t="s">
        <v>222</v>
      </c>
      <c r="B1762" s="0" t="n">
        <f aca="false">'02 SIZE_RUN'!L48</f>
        <v>170</v>
      </c>
      <c r="C1762" s="14" t="s">
        <v>223</v>
      </c>
      <c r="D1762" s="0" t="n">
        <f aca="false">'02 SIZE_RUN'!M48</f>
        <v>210</v>
      </c>
      <c r="E1762" s="14" t="s">
        <v>224</v>
      </c>
      <c r="F1762" s="0" t="n">
        <f aca="false">'02 SIZE_RUN'!N48</f>
        <v>0</v>
      </c>
      <c r="G1762" s="14" t="s">
        <v>225</v>
      </c>
      <c r="H1762" s="0" t="n">
        <f aca="false">'02 SIZE_RUN'!O48</f>
        <v>450</v>
      </c>
    </row>
    <row r="1763" customFormat="false" ht="18" hidden="false" customHeight="true" outlineLevel="0" collapsed="false">
      <c r="A1763" s="14" t="s">
        <v>226</v>
      </c>
      <c r="B1763" s="0" t="n">
        <f aca="false">'02 SIZE_RUN'!P48</f>
        <v>260</v>
      </c>
      <c r="C1763" s="14" t="s">
        <v>227</v>
      </c>
      <c r="D1763" s="0" t="n">
        <f aca="false">'02 SIZE_RUN'!Q48</f>
        <v>0</v>
      </c>
      <c r="E1763" s="14" t="s">
        <v>228</v>
      </c>
      <c r="F1763" s="0" t="n">
        <f aca="false">'02 SIZE_RUN'!R48</f>
        <v>280</v>
      </c>
      <c r="G1763" s="14" t="s">
        <v>229</v>
      </c>
      <c r="H1763" s="0" t="n">
        <f aca="false">'02 SIZE_RUN'!S48</f>
        <v>70</v>
      </c>
    </row>
    <row r="1764" customFormat="false" ht="18" hidden="false" customHeight="true" outlineLevel="0" collapsed="false">
      <c r="A1764" s="14" t="s">
        <v>230</v>
      </c>
      <c r="B1764" s="0" t="n">
        <f aca="false">'02 SIZE_RUN'!T48</f>
        <v>0</v>
      </c>
      <c r="C1764" s="14" t="s">
        <v>231</v>
      </c>
      <c r="D1764" s="0" t="n">
        <f aca="false">'02 SIZE_RUN'!U48</f>
        <v>30</v>
      </c>
      <c r="E1764" s="14" t="s">
        <v>232</v>
      </c>
      <c r="F1764" s="0" t="n">
        <f aca="false">'02 SIZE_RUN'!V48</f>
        <v>0</v>
      </c>
      <c r="G1764" s="14" t="s">
        <v>233</v>
      </c>
      <c r="H1764" s="0" t="n">
        <f aca="false">'02 SIZE_RUN'!W48</f>
        <v>0</v>
      </c>
    </row>
    <row r="1765" customFormat="false" ht="18" hidden="false" customHeight="true" outlineLevel="0" collapsed="false">
      <c r="A1765" s="14" t="s">
        <v>234</v>
      </c>
      <c r="B1765" s="0" t="n">
        <f aca="false">'02 SIZE_RUN'!X48</f>
        <v>0</v>
      </c>
      <c r="C1765" s="14" t="s">
        <v>235</v>
      </c>
      <c r="D1765" s="0" t="n">
        <f aca="false">'02 SIZE_RUN'!Y48</f>
        <v>0</v>
      </c>
      <c r="E1765" s="14" t="s">
        <v>236</v>
      </c>
      <c r="F1765" s="0" t="n">
        <f aca="false">'02 SIZE_RUN'!Z48</f>
        <v>0</v>
      </c>
      <c r="G1765" s="14" t="s">
        <v>237</v>
      </c>
      <c r="H1765" s="0" t="n">
        <f aca="false">'02 SIZE_RUN'!AA48</f>
        <v>0</v>
      </c>
    </row>
    <row r="1766" customFormat="false" ht="18" hidden="false" customHeight="true" outlineLevel="0" collapsed="false">
      <c r="A1766" s="14" t="s">
        <v>238</v>
      </c>
      <c r="B1766" s="0" t="n">
        <f aca="false">'02 SIZE_RUN'!AB48</f>
        <v>0</v>
      </c>
      <c r="C1766" s="14" t="s">
        <v>239</v>
      </c>
      <c r="D1766" s="0" t="n">
        <f aca="false">'02 SIZE_RUN'!AC48</f>
        <v>0</v>
      </c>
      <c r="E1766" s="14" t="s">
        <v>240</v>
      </c>
      <c r="F1766" s="0" t="n">
        <f aca="false">'02 SIZE_RUN'!AD48</f>
        <v>0</v>
      </c>
      <c r="G1766" s="14" t="s">
        <v>241</v>
      </c>
      <c r="H1766" s="0" t="n">
        <f aca="false">'02 SIZE_RUN'!AE48</f>
        <v>0</v>
      </c>
    </row>
    <row r="1767" customFormat="false" ht="18" hidden="false" customHeight="true" outlineLevel="0" collapsed="false">
      <c r="A1767" s="14" t="s">
        <v>242</v>
      </c>
      <c r="B1767" s="0" t="n">
        <f aca="false">'02 SIZE_RUN'!AF48</f>
        <v>0</v>
      </c>
    </row>
    <row r="1768" customFormat="false" ht="18" hidden="false" customHeight="true" outlineLevel="0" collapsed="false">
      <c r="A1768" s="10" t="str">
        <f aca="false">"TOTAL SIZE: "&amp;'02 SIZE_RUN'!AG48&amp;" | SELISIH: "&amp;'02 SIZE_RUN'!AH48</f>
        <v>TOTAL SIZE: 1470 | SELISIH: 0</v>
      </c>
      <c r="B1768" s="10"/>
      <c r="C1768" s="10"/>
      <c r="D1768" s="10"/>
      <c r="E1768" s="10"/>
      <c r="F1768" s="10"/>
      <c r="G1768" s="10"/>
      <c r="H1768" s="10"/>
    </row>
    <row r="1769" customFormat="false" ht="18" hidden="false" customHeight="true" outlineLevel="0" collapsed="false">
      <c r="A1769" s="10" t="s">
        <v>255</v>
      </c>
      <c r="B1769" s="10"/>
      <c r="C1769" s="10"/>
      <c r="D1769" s="13" t="str">
        <f aca="false">IF('01 ADMIN_ORDER'!P48="","BELUM DITETAPKAN",TEXT('01 ADMIN_ORDER'!P48,"dd mmm yyyy"))</f>
        <v>BELUM DITETAPKAN</v>
      </c>
      <c r="E1769" s="13"/>
      <c r="F1769" s="13"/>
      <c r="G1769" s="13"/>
      <c r="H1769" s="13"/>
    </row>
    <row r="1770" customFormat="false" ht="18" hidden="false" customHeight="true" outlineLevel="0" collapsed="false">
      <c r="A1770" s="10" t="s">
        <v>256</v>
      </c>
      <c r="B1770" s="10"/>
      <c r="C1770" s="10"/>
      <c r="D1770" s="13" t="str">
        <f aca="false">IF('01 ADMIN_ORDER'!Q48="","BELUM DITETAPKAN",TEXT('01 ADMIN_ORDER'!Q48,"dd mmm yyyy"))</f>
        <v>BELUM DITETAPKAN</v>
      </c>
      <c r="E1770" s="13"/>
      <c r="F1770" s="13"/>
      <c r="G1770" s="13"/>
      <c r="H1770" s="13"/>
    </row>
    <row r="1771" customFormat="false" ht="25.5" hidden="false" customHeight="true" outlineLevel="0" collapsed="false">
      <c r="A1771" s="12" t="str">
        <f aca="false">"REFERENSI ASSEMBLY (bukan target upper): "&amp;TEXT('01 ADMIN_ORDER'!M48,"dd mmm yyyy")&amp;" - "&amp;TEXT('01 ADMIN_ORDER'!N48,"dd mmm yyyy")</f>
        <v>REFERENSI ASSEMBLY (bukan target upper): 08 Oct 2026 - 09 Oct 2026</v>
      </c>
      <c r="B1771" s="12"/>
      <c r="C1771" s="12"/>
      <c r="D1771" s="12"/>
      <c r="E1771" s="12"/>
      <c r="F1771" s="12"/>
      <c r="G1771" s="12"/>
      <c r="H1771" s="12"/>
    </row>
    <row r="1772" customFormat="false" ht="18" hidden="false" customHeight="true" outlineLevel="0" collapsed="false">
      <c r="A1772" s="10" t="s">
        <v>257</v>
      </c>
      <c r="B1772" s="10"/>
      <c r="C1772" s="10"/>
      <c r="D1772" s="13" t="str">
        <f aca="false">IF('04 KESIAPAN'!G48="","BELUM DIISI",'04 KESIAPAN'!G48)</f>
        <v>BELUM DIISI</v>
      </c>
      <c r="E1772" s="13"/>
      <c r="F1772" s="13"/>
      <c r="G1772" s="13"/>
      <c r="H1772" s="13"/>
    </row>
    <row r="1773" customFormat="false" ht="18" hidden="false" customHeight="true" outlineLevel="0" collapsed="false">
      <c r="A1773" s="10" t="s">
        <v>258</v>
      </c>
      <c r="B1773" s="10"/>
      <c r="C1773" s="10"/>
      <c r="D1773" s="13" t="str">
        <f aca="false">IF('04 KESIAPAN'!H48="","BELUM DIISI",'04 KESIAPAN'!H48)</f>
        <v>BELUM DIISI</v>
      </c>
      <c r="E1773" s="13"/>
      <c r="F1773" s="13"/>
      <c r="G1773" s="13"/>
      <c r="H1773" s="13"/>
    </row>
    <row r="1774" customFormat="false" ht="18" hidden="false" customHeight="true" outlineLevel="0" collapsed="false">
      <c r="A1774" s="10" t="s">
        <v>259</v>
      </c>
      <c r="B1774" s="10"/>
      <c r="C1774" s="10"/>
      <c r="D1774" s="13" t="str">
        <f aca="false">IF('04 KESIAPAN'!I48="","BELUM DIISI",'04 KESIAPAN'!I48)</f>
        <v>BELUM DIISI</v>
      </c>
      <c r="E1774" s="13"/>
      <c r="F1774" s="13"/>
      <c r="G1774" s="13"/>
      <c r="H1774" s="13"/>
    </row>
    <row r="1775" customFormat="false" ht="18" hidden="false" customHeight="true" outlineLevel="0" collapsed="false">
      <c r="A1775" s="10" t="s">
        <v>260</v>
      </c>
      <c r="B1775" s="10"/>
      <c r="C1775" s="10"/>
      <c r="D1775" s="13" t="str">
        <f aca="false">IF('04 KESIAPAN'!K48="","BELUM DIISI",'04 KESIAPAN'!K48)</f>
        <v>BELUM DIISI</v>
      </c>
      <c r="E1775" s="13"/>
      <c r="F1775" s="13"/>
      <c r="G1775" s="13"/>
      <c r="H1775" s="13"/>
    </row>
    <row r="1776" customFormat="false" ht="18" hidden="false" customHeight="true" outlineLevel="0" collapsed="false">
      <c r="A1776" s="10" t="s">
        <v>261</v>
      </c>
      <c r="B1776" s="10"/>
      <c r="C1776" s="10"/>
      <c r="D1776" s="13" t="str">
        <f aca="false">IF('04 KESIAPAN'!L48="","BELUM DIISI",'04 KESIAPAN'!L48)</f>
        <v>BELUM DIISI</v>
      </c>
      <c r="E1776" s="13"/>
      <c r="F1776" s="13"/>
      <c r="G1776" s="13"/>
      <c r="H1776" s="13"/>
    </row>
    <row r="1777" customFormat="false" ht="18" hidden="false" customHeight="true" outlineLevel="0" collapsed="false">
      <c r="A1777" s="10" t="s">
        <v>262</v>
      </c>
      <c r="B1777" s="10"/>
      <c r="C1777" s="10"/>
      <c r="D1777" s="13" t="str">
        <f aca="false">IF('04 KESIAPAN'!N48="","BELUM DIISI",'04 KESIAPAN'!N48)</f>
        <v>BELUM DIISI</v>
      </c>
      <c r="E1777" s="13"/>
      <c r="F1777" s="13"/>
      <c r="G1777" s="13"/>
      <c r="H1777" s="13"/>
    </row>
    <row r="1778" customFormat="false" ht="18" hidden="false" customHeight="true" outlineLevel="0" collapsed="false">
      <c r="A1778" s="10" t="s">
        <v>263</v>
      </c>
      <c r="B1778" s="10"/>
      <c r="C1778" s="10"/>
      <c r="D1778" s="13" t="str">
        <f aca="false">IF('04 KESIAPAN'!P48="","BELUM DIISI",'04 KESIAPAN'!P48)</f>
        <v>BELUM DIISI</v>
      </c>
      <c r="E1778" s="13"/>
      <c r="F1778" s="13"/>
      <c r="G1778" s="13"/>
      <c r="H1778" s="13"/>
    </row>
    <row r="1779" customFormat="false" ht="18" hidden="false" customHeight="true" outlineLevel="0" collapsed="false">
      <c r="A1779" s="7" t="s">
        <v>264</v>
      </c>
      <c r="B1779" s="7"/>
      <c r="C1779" s="7"/>
      <c r="D1779" s="7"/>
      <c r="E1779" s="7"/>
      <c r="F1779" s="7"/>
      <c r="G1779" s="7"/>
      <c r="H1779" s="7"/>
    </row>
    <row r="1780" customFormat="false" ht="18" hidden="false" customHeight="true" outlineLevel="0" collapsed="false">
      <c r="A1780" s="13"/>
      <c r="B1780" s="13"/>
      <c r="C1780" s="13"/>
      <c r="D1780" s="13"/>
      <c r="E1780" s="13"/>
      <c r="F1780" s="13"/>
      <c r="G1780" s="13"/>
      <c r="H1780" s="13"/>
    </row>
    <row r="1781" customFormat="false" ht="18" hidden="false" customHeight="true" outlineLevel="0" collapsed="false">
      <c r="A1781" s="13"/>
      <c r="B1781" s="13"/>
      <c r="C1781" s="13"/>
      <c r="D1781" s="13"/>
      <c r="E1781" s="13"/>
      <c r="F1781" s="13"/>
      <c r="G1781" s="13"/>
      <c r="H1781" s="13"/>
    </row>
    <row r="1782" customFormat="false" ht="18" hidden="false" customHeight="true" outlineLevel="0" collapsed="false">
      <c r="A1782" s="13"/>
      <c r="B1782" s="13"/>
      <c r="C1782" s="13"/>
      <c r="D1782" s="13"/>
      <c r="E1782" s="13"/>
      <c r="F1782" s="13"/>
      <c r="G1782" s="13"/>
      <c r="H1782" s="13"/>
    </row>
    <row r="1783" customFormat="false" ht="18" hidden="false" customHeight="true" outlineLevel="0" collapsed="false">
      <c r="A1783" s="12" t="s">
        <v>265</v>
      </c>
      <c r="B1783" s="12"/>
      <c r="C1783" s="12"/>
      <c r="D1783" s="12"/>
      <c r="E1783" s="12" t="s">
        <v>266</v>
      </c>
      <c r="F1783" s="12"/>
      <c r="G1783" s="12"/>
      <c r="H1783" s="12"/>
    </row>
    <row r="1784" customFormat="false" ht="18" hidden="false" customHeight="true" outlineLevel="0" collapsed="false">
      <c r="A1784" s="12" t="s">
        <v>313</v>
      </c>
      <c r="B1784" s="12"/>
      <c r="C1784" s="12"/>
      <c r="D1784" s="12"/>
      <c r="E1784" s="12"/>
      <c r="F1784" s="12"/>
      <c r="G1784" s="12"/>
      <c r="H1784" s="12"/>
    </row>
    <row r="1785" customFormat="false" ht="18" hidden="false" customHeight="true" outlineLevel="0" collapsed="false"/>
    <row r="1786" customFormat="false" ht="18" hidden="false" customHeight="true" outlineLevel="0" collapsed="false"/>
    <row r="1787" customFormat="false" ht="25.5" hidden="false" customHeight="true" outlineLevel="0" collapsed="false">
      <c r="A1787" s="7" t="s">
        <v>246</v>
      </c>
      <c r="B1787" s="7"/>
      <c r="C1787" s="7"/>
      <c r="D1787" s="7"/>
      <c r="E1787" s="7"/>
      <c r="F1787" s="7"/>
      <c r="G1787" s="7"/>
      <c r="H1787" s="7"/>
    </row>
    <row r="1788" customFormat="false" ht="18" hidden="false" customHeight="true" outlineLevel="0" collapsed="false">
      <c r="A1788" s="8" t="str">
        <f aca="false">'01 ADMIN_ORDER'!R49</f>
        <v>DRAFT - PERLU VERIFIKASI</v>
      </c>
      <c r="B1788" s="8"/>
      <c r="C1788" s="8"/>
      <c r="D1788" s="8"/>
      <c r="E1788" s="8"/>
      <c r="F1788" s="8"/>
      <c r="G1788" s="8"/>
      <c r="H1788" s="8"/>
    </row>
    <row r="1789" customFormat="false" ht="18" hidden="false" customHeight="true" outlineLevel="0" collapsed="false">
      <c r="A1789" s="9" t="s">
        <v>247</v>
      </c>
      <c r="B1789" s="9"/>
      <c r="C1789" s="9"/>
      <c r="D1789" s="9"/>
      <c r="E1789" s="9"/>
      <c r="F1789" s="9"/>
      <c r="G1789" s="9"/>
      <c r="H1789" s="9"/>
    </row>
    <row r="1790" customFormat="false" ht="18" hidden="false" customHeight="true" outlineLevel="0" collapsed="false">
      <c r="A1790" s="10" t="s">
        <v>248</v>
      </c>
      <c r="B1790" s="10"/>
      <c r="C1790" s="11" t="str">
        <f aca="false">'01 ADMIN_ORDER'!A49</f>
        <v>184/10/48 (59)</v>
      </c>
      <c r="D1790" s="11"/>
      <c r="E1790" s="11"/>
      <c r="F1790" s="11"/>
      <c r="G1790" s="11"/>
      <c r="H1790" s="11"/>
    </row>
    <row r="1791" customFormat="false" ht="18" hidden="false" customHeight="true" outlineLevel="0" collapsed="false">
      <c r="A1791" s="10" t="s">
        <v>249</v>
      </c>
      <c r="B1791" s="10"/>
      <c r="C1791" s="12" t="str">
        <f aca="false">'01 ADMIN_ORDER'!C49&amp;" / "&amp;'01 ADMIN_ORDER'!D49</f>
        <v>FRONTCOURT LOW / LA6614</v>
      </c>
      <c r="D1791" s="12"/>
      <c r="E1791" s="12"/>
      <c r="F1791" s="12"/>
      <c r="G1791" s="12"/>
      <c r="H1791" s="12"/>
    </row>
    <row r="1792" customFormat="false" ht="18" hidden="false" customHeight="true" outlineLevel="0" collapsed="false">
      <c r="A1792" s="10" t="s">
        <v>250</v>
      </c>
      <c r="B1792" s="10"/>
      <c r="C1792" s="12" t="str">
        <f aca="false">'01 ADMIN_ORDER'!E49</f>
        <v>903150550 (FGT)</v>
      </c>
      <c r="D1792" s="12"/>
      <c r="E1792" s="12"/>
      <c r="F1792" s="12"/>
      <c r="G1792" s="12"/>
      <c r="H1792" s="12"/>
    </row>
    <row r="1793" customFormat="false" ht="27.75" hidden="false" customHeight="true" outlineLevel="0" collapsed="false">
      <c r="A1793" s="10" t="s">
        <v>251</v>
      </c>
      <c r="B1793" s="10"/>
      <c r="C1793" s="12" t="str">
        <f aca="false">'01 ADMIN_ORDER'!H49</f>
        <v>CORE BLACK/FTWR WHITE/GUM M2</v>
      </c>
      <c r="D1793" s="12"/>
      <c r="E1793" s="12"/>
      <c r="F1793" s="12"/>
      <c r="G1793" s="12"/>
      <c r="H1793" s="12"/>
    </row>
    <row r="1794" customFormat="false" ht="18" hidden="false" customHeight="true" outlineLevel="0" collapsed="false">
      <c r="A1794" s="10" t="s">
        <v>252</v>
      </c>
      <c r="B1794" s="10"/>
      <c r="C1794" s="12" t="str">
        <f aca="false">'01 ADMIN_ORDER'!B49&amp;" / "&amp;'01 ADMIN_ORDER'!G49</f>
        <v>B-19 / Spain</v>
      </c>
      <c r="D1794" s="12"/>
      <c r="E1794" s="12"/>
      <c r="F1794" s="12"/>
      <c r="G1794" s="12"/>
      <c r="H1794" s="12"/>
    </row>
    <row r="1795" customFormat="false" ht="18" hidden="false" customHeight="true" outlineLevel="0" collapsed="false">
      <c r="A1795" s="10" t="s">
        <v>253</v>
      </c>
      <c r="B1795" s="10"/>
      <c r="C1795" s="13" t="str">
        <f aca="false">'01 ADMIN_ORDER'!I49&amp;" / "&amp;IF('04 KESIAPAN'!B49="","UOM BELUM DIISI",'04 KESIAPAN'!B49)</f>
        <v>9 / UOM BELUM DIISI</v>
      </c>
      <c r="D1795" s="13"/>
      <c r="E1795" s="13"/>
      <c r="F1795" s="13"/>
      <c r="G1795" s="13"/>
      <c r="H1795" s="13"/>
    </row>
    <row r="1796" customFormat="false" ht="18" hidden="false" customHeight="true" outlineLevel="0" collapsed="false">
      <c r="A1796" s="13" t="str">
        <f aca="false">IF('04 KESIAPAN'!C49="","SISTEM UKURAN BELUM DIISI",'04 KESIAPAN'!C49)&amp;" | Tanda -: "&amp;IF('04 KESIAPAN'!D49="","BELUM DIKONFIRMASI",'04 KESIAPAN'!D49)</f>
        <v>SISTEM UKURAN BELUM DIISI | Tanda -: BELUM DIKONFIRMASI</v>
      </c>
      <c r="B1796" s="13"/>
      <c r="C1796" s="13"/>
      <c r="D1796" s="13"/>
      <c r="E1796" s="13"/>
      <c r="F1796" s="13"/>
      <c r="G1796" s="13"/>
      <c r="H1796" s="13"/>
    </row>
    <row r="1797" customFormat="false" ht="18" hidden="false" customHeight="true" outlineLevel="0" collapsed="false">
      <c r="A1797" s="7" t="s">
        <v>254</v>
      </c>
      <c r="B1797" s="7"/>
      <c r="C1797" s="7"/>
      <c r="D1797" s="7"/>
      <c r="E1797" s="7"/>
      <c r="F1797" s="7"/>
      <c r="G1797" s="7"/>
      <c r="H1797" s="7"/>
    </row>
    <row r="1798" customFormat="false" ht="18" hidden="false" customHeight="true" outlineLevel="0" collapsed="false">
      <c r="A1798" s="14" t="s">
        <v>214</v>
      </c>
      <c r="B1798" s="0" t="n">
        <f aca="false">'02 SIZE_RUN'!D49</f>
        <v>0</v>
      </c>
      <c r="C1798" s="14" t="s">
        <v>215</v>
      </c>
      <c r="D1798" s="0" t="n">
        <f aca="false">'02 SIZE_RUN'!E49</f>
        <v>0</v>
      </c>
      <c r="E1798" s="14" t="s">
        <v>216</v>
      </c>
      <c r="F1798" s="0" t="n">
        <f aca="false">'02 SIZE_RUN'!F49</f>
        <v>0</v>
      </c>
      <c r="G1798" s="14" t="s">
        <v>217</v>
      </c>
      <c r="H1798" s="0" t="n">
        <f aca="false">'02 SIZE_RUN'!G49</f>
        <v>0</v>
      </c>
    </row>
    <row r="1799" customFormat="false" ht="18" hidden="false" customHeight="true" outlineLevel="0" collapsed="false">
      <c r="A1799" s="14" t="s">
        <v>218</v>
      </c>
      <c r="B1799" s="0" t="n">
        <f aca="false">'02 SIZE_RUN'!H49</f>
        <v>0</v>
      </c>
      <c r="C1799" s="14" t="s">
        <v>219</v>
      </c>
      <c r="D1799" s="0" t="n">
        <f aca="false">'02 SIZE_RUN'!I49</f>
        <v>0</v>
      </c>
      <c r="E1799" s="14" t="s">
        <v>220</v>
      </c>
      <c r="F1799" s="0" t="n">
        <f aca="false">'02 SIZE_RUN'!J49</f>
        <v>0</v>
      </c>
      <c r="G1799" s="14" t="s">
        <v>221</v>
      </c>
      <c r="H1799" s="0" t="n">
        <f aca="false">'02 SIZE_RUN'!K49</f>
        <v>0</v>
      </c>
    </row>
    <row r="1800" customFormat="false" ht="18" hidden="false" customHeight="true" outlineLevel="0" collapsed="false">
      <c r="A1800" s="14" t="s">
        <v>222</v>
      </c>
      <c r="B1800" s="0" t="n">
        <f aca="false">'02 SIZE_RUN'!L49</f>
        <v>0</v>
      </c>
      <c r="C1800" s="14" t="s">
        <v>223</v>
      </c>
      <c r="D1800" s="0" t="n">
        <f aca="false">'02 SIZE_RUN'!M49</f>
        <v>0</v>
      </c>
      <c r="E1800" s="14" t="s">
        <v>224</v>
      </c>
      <c r="F1800" s="0" t="n">
        <f aca="false">'02 SIZE_RUN'!N49</f>
        <v>0</v>
      </c>
      <c r="G1800" s="14" t="s">
        <v>225</v>
      </c>
      <c r="H1800" s="0" t="n">
        <f aca="false">'02 SIZE_RUN'!O49</f>
        <v>9</v>
      </c>
    </row>
    <row r="1801" customFormat="false" ht="18" hidden="false" customHeight="true" outlineLevel="0" collapsed="false">
      <c r="A1801" s="14" t="s">
        <v>226</v>
      </c>
      <c r="B1801" s="0" t="n">
        <f aca="false">'02 SIZE_RUN'!P49</f>
        <v>0</v>
      </c>
      <c r="C1801" s="14" t="s">
        <v>227</v>
      </c>
      <c r="D1801" s="0" t="n">
        <f aca="false">'02 SIZE_RUN'!Q49</f>
        <v>0</v>
      </c>
      <c r="E1801" s="14" t="s">
        <v>228</v>
      </c>
      <c r="F1801" s="0" t="n">
        <f aca="false">'02 SIZE_RUN'!R49</f>
        <v>0</v>
      </c>
      <c r="G1801" s="14" t="s">
        <v>229</v>
      </c>
      <c r="H1801" s="0" t="n">
        <f aca="false">'02 SIZE_RUN'!S49</f>
        <v>0</v>
      </c>
    </row>
    <row r="1802" customFormat="false" ht="18" hidden="false" customHeight="true" outlineLevel="0" collapsed="false">
      <c r="A1802" s="14" t="s">
        <v>230</v>
      </c>
      <c r="B1802" s="0" t="n">
        <f aca="false">'02 SIZE_RUN'!T49</f>
        <v>0</v>
      </c>
      <c r="C1802" s="14" t="s">
        <v>231</v>
      </c>
      <c r="D1802" s="0" t="n">
        <f aca="false">'02 SIZE_RUN'!U49</f>
        <v>0</v>
      </c>
      <c r="E1802" s="14" t="s">
        <v>232</v>
      </c>
      <c r="F1802" s="0" t="n">
        <f aca="false">'02 SIZE_RUN'!V49</f>
        <v>0</v>
      </c>
      <c r="G1802" s="14" t="s">
        <v>233</v>
      </c>
      <c r="H1802" s="0" t="n">
        <f aca="false">'02 SIZE_RUN'!W49</f>
        <v>0</v>
      </c>
    </row>
    <row r="1803" customFormat="false" ht="18" hidden="false" customHeight="true" outlineLevel="0" collapsed="false">
      <c r="A1803" s="14" t="s">
        <v>234</v>
      </c>
      <c r="B1803" s="0" t="n">
        <f aca="false">'02 SIZE_RUN'!X49</f>
        <v>0</v>
      </c>
      <c r="C1803" s="14" t="s">
        <v>235</v>
      </c>
      <c r="D1803" s="0" t="n">
        <f aca="false">'02 SIZE_RUN'!Y49</f>
        <v>0</v>
      </c>
      <c r="E1803" s="14" t="s">
        <v>236</v>
      </c>
      <c r="F1803" s="0" t="n">
        <f aca="false">'02 SIZE_RUN'!Z49</f>
        <v>0</v>
      </c>
      <c r="G1803" s="14" t="s">
        <v>237</v>
      </c>
      <c r="H1803" s="0" t="n">
        <f aca="false">'02 SIZE_RUN'!AA49</f>
        <v>0</v>
      </c>
    </row>
    <row r="1804" customFormat="false" ht="18" hidden="false" customHeight="true" outlineLevel="0" collapsed="false">
      <c r="A1804" s="14" t="s">
        <v>238</v>
      </c>
      <c r="B1804" s="0" t="n">
        <f aca="false">'02 SIZE_RUN'!AB49</f>
        <v>0</v>
      </c>
      <c r="C1804" s="14" t="s">
        <v>239</v>
      </c>
      <c r="D1804" s="0" t="n">
        <f aca="false">'02 SIZE_RUN'!AC49</f>
        <v>0</v>
      </c>
      <c r="E1804" s="14" t="s">
        <v>240</v>
      </c>
      <c r="F1804" s="0" t="n">
        <f aca="false">'02 SIZE_RUN'!AD49</f>
        <v>0</v>
      </c>
      <c r="G1804" s="14" t="s">
        <v>241</v>
      </c>
      <c r="H1804" s="0" t="n">
        <f aca="false">'02 SIZE_RUN'!AE49</f>
        <v>0</v>
      </c>
    </row>
    <row r="1805" customFormat="false" ht="18" hidden="false" customHeight="true" outlineLevel="0" collapsed="false">
      <c r="A1805" s="14" t="s">
        <v>242</v>
      </c>
      <c r="B1805" s="0" t="n">
        <f aca="false">'02 SIZE_RUN'!AF49</f>
        <v>0</v>
      </c>
    </row>
    <row r="1806" customFormat="false" ht="18" hidden="false" customHeight="true" outlineLevel="0" collapsed="false">
      <c r="A1806" s="10" t="str">
        <f aca="false">"TOTAL SIZE: "&amp;'02 SIZE_RUN'!AG49&amp;" | SELISIH: "&amp;'02 SIZE_RUN'!AH49</f>
        <v>TOTAL SIZE: 9 | SELISIH: 0</v>
      </c>
      <c r="B1806" s="10"/>
      <c r="C1806" s="10"/>
      <c r="D1806" s="10"/>
      <c r="E1806" s="10"/>
      <c r="F1806" s="10"/>
      <c r="G1806" s="10"/>
      <c r="H1806" s="10"/>
    </row>
    <row r="1807" customFormat="false" ht="18" hidden="false" customHeight="true" outlineLevel="0" collapsed="false">
      <c r="A1807" s="10" t="s">
        <v>255</v>
      </c>
      <c r="B1807" s="10"/>
      <c r="C1807" s="10"/>
      <c r="D1807" s="13" t="str">
        <f aca="false">IF('01 ADMIN_ORDER'!P49="","BELUM DITETAPKAN",TEXT('01 ADMIN_ORDER'!P49,"dd mmm yyyy"))</f>
        <v>BELUM DITETAPKAN</v>
      </c>
      <c r="E1807" s="13"/>
      <c r="F1807" s="13"/>
      <c r="G1807" s="13"/>
      <c r="H1807" s="13"/>
    </row>
    <row r="1808" customFormat="false" ht="18" hidden="false" customHeight="true" outlineLevel="0" collapsed="false">
      <c r="A1808" s="10" t="s">
        <v>256</v>
      </c>
      <c r="B1808" s="10"/>
      <c r="C1808" s="10"/>
      <c r="D1808" s="13" t="str">
        <f aca="false">IF('01 ADMIN_ORDER'!Q49="","BELUM DITETAPKAN",TEXT('01 ADMIN_ORDER'!Q49,"dd mmm yyyy"))</f>
        <v>BELUM DITETAPKAN</v>
      </c>
      <c r="E1808" s="13"/>
      <c r="F1808" s="13"/>
      <c r="G1808" s="13"/>
      <c r="H1808" s="13"/>
    </row>
    <row r="1809" customFormat="false" ht="25.5" hidden="false" customHeight="true" outlineLevel="0" collapsed="false">
      <c r="A1809" s="12" t="str">
        <f aca="false">"REFERENSI ASSEMBLY (bukan target upper): "&amp;TEXT('01 ADMIN_ORDER'!M49,"dd mmm yyyy")&amp;" - "&amp;TEXT('01 ADMIN_ORDER'!N49,"dd mmm yyyy")</f>
        <v>REFERENSI ASSEMBLY (bukan target upper): 08 Oct 2026 - 09 Oct 2026</v>
      </c>
      <c r="B1809" s="12"/>
      <c r="C1809" s="12"/>
      <c r="D1809" s="12"/>
      <c r="E1809" s="12"/>
      <c r="F1809" s="12"/>
      <c r="G1809" s="12"/>
      <c r="H1809" s="12"/>
    </row>
    <row r="1810" customFormat="false" ht="18" hidden="false" customHeight="true" outlineLevel="0" collapsed="false">
      <c r="A1810" s="10" t="s">
        <v>257</v>
      </c>
      <c r="B1810" s="10"/>
      <c r="C1810" s="10"/>
      <c r="D1810" s="13" t="str">
        <f aca="false">IF('04 KESIAPAN'!G49="","BELUM DIISI",'04 KESIAPAN'!G49)</f>
        <v>BELUM DIISI</v>
      </c>
      <c r="E1810" s="13"/>
      <c r="F1810" s="13"/>
      <c r="G1810" s="13"/>
      <c r="H1810" s="13"/>
    </row>
    <row r="1811" customFormat="false" ht="18" hidden="false" customHeight="true" outlineLevel="0" collapsed="false">
      <c r="A1811" s="10" t="s">
        <v>258</v>
      </c>
      <c r="B1811" s="10"/>
      <c r="C1811" s="10"/>
      <c r="D1811" s="13" t="str">
        <f aca="false">IF('04 KESIAPAN'!H49="","BELUM DIISI",'04 KESIAPAN'!H49)</f>
        <v>BELUM DIISI</v>
      </c>
      <c r="E1811" s="13"/>
      <c r="F1811" s="13"/>
      <c r="G1811" s="13"/>
      <c r="H1811" s="13"/>
    </row>
    <row r="1812" customFormat="false" ht="18" hidden="false" customHeight="true" outlineLevel="0" collapsed="false">
      <c r="A1812" s="10" t="s">
        <v>259</v>
      </c>
      <c r="B1812" s="10"/>
      <c r="C1812" s="10"/>
      <c r="D1812" s="13" t="str">
        <f aca="false">IF('04 KESIAPAN'!I49="","BELUM DIISI",'04 KESIAPAN'!I49)</f>
        <v>BELUM DIISI</v>
      </c>
      <c r="E1812" s="13"/>
      <c r="F1812" s="13"/>
      <c r="G1812" s="13"/>
      <c r="H1812" s="13"/>
    </row>
    <row r="1813" customFormat="false" ht="18" hidden="false" customHeight="true" outlineLevel="0" collapsed="false">
      <c r="A1813" s="10" t="s">
        <v>260</v>
      </c>
      <c r="B1813" s="10"/>
      <c r="C1813" s="10"/>
      <c r="D1813" s="13" t="str">
        <f aca="false">IF('04 KESIAPAN'!K49="","BELUM DIISI",'04 KESIAPAN'!K49)</f>
        <v>BELUM DIISI</v>
      </c>
      <c r="E1813" s="13"/>
      <c r="F1813" s="13"/>
      <c r="G1813" s="13"/>
      <c r="H1813" s="13"/>
    </row>
    <row r="1814" customFormat="false" ht="18" hidden="false" customHeight="true" outlineLevel="0" collapsed="false">
      <c r="A1814" s="10" t="s">
        <v>261</v>
      </c>
      <c r="B1814" s="10"/>
      <c r="C1814" s="10"/>
      <c r="D1814" s="13" t="str">
        <f aca="false">IF('04 KESIAPAN'!L49="","BELUM DIISI",'04 KESIAPAN'!L49)</f>
        <v>BELUM DIISI</v>
      </c>
      <c r="E1814" s="13"/>
      <c r="F1814" s="13"/>
      <c r="G1814" s="13"/>
      <c r="H1814" s="13"/>
    </row>
    <row r="1815" customFormat="false" ht="18" hidden="false" customHeight="true" outlineLevel="0" collapsed="false">
      <c r="A1815" s="10" t="s">
        <v>262</v>
      </c>
      <c r="B1815" s="10"/>
      <c r="C1815" s="10"/>
      <c r="D1815" s="13" t="str">
        <f aca="false">IF('04 KESIAPAN'!N49="","BELUM DIISI",'04 KESIAPAN'!N49)</f>
        <v>BELUM DIISI</v>
      </c>
      <c r="E1815" s="13"/>
      <c r="F1815" s="13"/>
      <c r="G1815" s="13"/>
      <c r="H1815" s="13"/>
    </row>
    <row r="1816" customFormat="false" ht="18" hidden="false" customHeight="true" outlineLevel="0" collapsed="false">
      <c r="A1816" s="10" t="s">
        <v>263</v>
      </c>
      <c r="B1816" s="10"/>
      <c r="C1816" s="10"/>
      <c r="D1816" s="13" t="str">
        <f aca="false">IF('04 KESIAPAN'!P49="","BELUM DIISI",'04 KESIAPAN'!P49)</f>
        <v>BELUM DIISI</v>
      </c>
      <c r="E1816" s="13"/>
      <c r="F1816" s="13"/>
      <c r="G1816" s="13"/>
      <c r="H1816" s="13"/>
    </row>
    <row r="1817" customFormat="false" ht="18" hidden="false" customHeight="true" outlineLevel="0" collapsed="false">
      <c r="A1817" s="7" t="s">
        <v>264</v>
      </c>
      <c r="B1817" s="7"/>
      <c r="C1817" s="7"/>
      <c r="D1817" s="7"/>
      <c r="E1817" s="7"/>
      <c r="F1817" s="7"/>
      <c r="G1817" s="7"/>
      <c r="H1817" s="7"/>
    </row>
    <row r="1818" customFormat="false" ht="18" hidden="false" customHeight="true" outlineLevel="0" collapsed="false">
      <c r="A1818" s="13"/>
      <c r="B1818" s="13"/>
      <c r="C1818" s="13"/>
      <c r="D1818" s="13"/>
      <c r="E1818" s="13"/>
      <c r="F1818" s="13"/>
      <c r="G1818" s="13"/>
      <c r="H1818" s="13"/>
    </row>
    <row r="1819" customFormat="false" ht="18" hidden="false" customHeight="true" outlineLevel="0" collapsed="false">
      <c r="A1819" s="13"/>
      <c r="B1819" s="13"/>
      <c r="C1819" s="13"/>
      <c r="D1819" s="13"/>
      <c r="E1819" s="13"/>
      <c r="F1819" s="13"/>
      <c r="G1819" s="13"/>
      <c r="H1819" s="13"/>
    </row>
    <row r="1820" customFormat="false" ht="18" hidden="false" customHeight="true" outlineLevel="0" collapsed="false">
      <c r="A1820" s="13"/>
      <c r="B1820" s="13"/>
      <c r="C1820" s="13"/>
      <c r="D1820" s="13"/>
      <c r="E1820" s="13"/>
      <c r="F1820" s="13"/>
      <c r="G1820" s="13"/>
      <c r="H1820" s="13"/>
    </row>
    <row r="1821" customFormat="false" ht="18" hidden="false" customHeight="true" outlineLevel="0" collapsed="false">
      <c r="A1821" s="12" t="s">
        <v>265</v>
      </c>
      <c r="B1821" s="12"/>
      <c r="C1821" s="12"/>
      <c r="D1821" s="12"/>
      <c r="E1821" s="12" t="s">
        <v>266</v>
      </c>
      <c r="F1821" s="12"/>
      <c r="G1821" s="12"/>
      <c r="H1821" s="12"/>
    </row>
    <row r="1822" customFormat="false" ht="18" hidden="false" customHeight="true" outlineLevel="0" collapsed="false">
      <c r="A1822" s="12" t="s">
        <v>314</v>
      </c>
      <c r="B1822" s="12"/>
      <c r="C1822" s="12"/>
      <c r="D1822" s="12"/>
      <c r="E1822" s="12"/>
      <c r="F1822" s="12"/>
      <c r="G1822" s="12"/>
      <c r="H1822" s="12"/>
    </row>
    <row r="1823" customFormat="false" ht="18" hidden="false" customHeight="true" outlineLevel="0" collapsed="false"/>
    <row r="1824" customFormat="false" ht="18" hidden="false" customHeight="true" outlineLevel="0" collapsed="false"/>
    <row r="1825" customFormat="false" ht="25.5" hidden="false" customHeight="true" outlineLevel="0" collapsed="false">
      <c r="A1825" s="7" t="s">
        <v>246</v>
      </c>
      <c r="B1825" s="7"/>
      <c r="C1825" s="7"/>
      <c r="D1825" s="7"/>
      <c r="E1825" s="7"/>
      <c r="F1825" s="7"/>
      <c r="G1825" s="7"/>
      <c r="H1825" s="7"/>
    </row>
    <row r="1826" customFormat="false" ht="18" hidden="false" customHeight="true" outlineLevel="0" collapsed="false">
      <c r="A1826" s="8" t="str">
        <f aca="false">'01 ADMIN_ORDER'!R50</f>
        <v>DRAFT - PERLU VERIFIKASI</v>
      </c>
      <c r="B1826" s="8"/>
      <c r="C1826" s="8"/>
      <c r="D1826" s="8"/>
      <c r="E1826" s="8"/>
      <c r="F1826" s="8"/>
      <c r="G1826" s="8"/>
      <c r="H1826" s="8"/>
    </row>
    <row r="1827" customFormat="false" ht="18" hidden="false" customHeight="true" outlineLevel="0" collapsed="false">
      <c r="A1827" s="9" t="s">
        <v>247</v>
      </c>
      <c r="B1827" s="9"/>
      <c r="C1827" s="9"/>
      <c r="D1827" s="9"/>
      <c r="E1827" s="9"/>
      <c r="F1827" s="9"/>
      <c r="G1827" s="9"/>
      <c r="H1827" s="9"/>
    </row>
    <row r="1828" customFormat="false" ht="18" hidden="false" customHeight="true" outlineLevel="0" collapsed="false">
      <c r="A1828" s="10" t="s">
        <v>248</v>
      </c>
      <c r="B1828" s="10"/>
      <c r="C1828" s="11" t="str">
        <f aca="false">'01 ADMIN_ORDER'!A50</f>
        <v>185/10/49 (59)</v>
      </c>
      <c r="D1828" s="11"/>
      <c r="E1828" s="11"/>
      <c r="F1828" s="11"/>
      <c r="G1828" s="11"/>
      <c r="H1828" s="11"/>
    </row>
    <row r="1829" customFormat="false" ht="18" hidden="false" customHeight="true" outlineLevel="0" collapsed="false">
      <c r="A1829" s="10" t="s">
        <v>249</v>
      </c>
      <c r="B1829" s="10"/>
      <c r="C1829" s="12" t="str">
        <f aca="false">'01 ADMIN_ORDER'!C50&amp;" / "&amp;'01 ADMIN_ORDER'!D50</f>
        <v>FRONTCOURT LOW / LA6614</v>
      </c>
      <c r="D1829" s="12"/>
      <c r="E1829" s="12"/>
      <c r="F1829" s="12"/>
      <c r="G1829" s="12"/>
      <c r="H1829" s="12"/>
    </row>
    <row r="1830" customFormat="false" ht="18" hidden="false" customHeight="true" outlineLevel="0" collapsed="false">
      <c r="A1830" s="10" t="s">
        <v>250</v>
      </c>
      <c r="B1830" s="10"/>
      <c r="C1830" s="12" t="str">
        <f aca="false">'01 ADMIN_ORDER'!E50</f>
        <v>903150578</v>
      </c>
      <c r="D1830" s="12"/>
      <c r="E1830" s="12"/>
      <c r="F1830" s="12"/>
      <c r="G1830" s="12"/>
      <c r="H1830" s="12"/>
    </row>
    <row r="1831" customFormat="false" ht="27.75" hidden="false" customHeight="true" outlineLevel="0" collapsed="false">
      <c r="A1831" s="10" t="s">
        <v>251</v>
      </c>
      <c r="B1831" s="10"/>
      <c r="C1831" s="12" t="str">
        <f aca="false">'01 ADMIN_ORDER'!H50</f>
        <v>CORE BLACK/FTWR WHITE/GUM M2</v>
      </c>
      <c r="D1831" s="12"/>
      <c r="E1831" s="12"/>
      <c r="F1831" s="12"/>
      <c r="G1831" s="12"/>
      <c r="H1831" s="12"/>
    </row>
    <row r="1832" customFormat="false" ht="18" hidden="false" customHeight="true" outlineLevel="0" collapsed="false">
      <c r="A1832" s="10" t="s">
        <v>252</v>
      </c>
      <c r="B1832" s="10"/>
      <c r="C1832" s="12" t="str">
        <f aca="false">'01 ADMIN_ORDER'!B50&amp;" / "&amp;'01 ADMIN_ORDER'!G50</f>
        <v>B-19 / Spain</v>
      </c>
      <c r="D1832" s="12"/>
      <c r="E1832" s="12"/>
      <c r="F1832" s="12"/>
      <c r="G1832" s="12"/>
      <c r="H1832" s="12"/>
    </row>
    <row r="1833" customFormat="false" ht="18" hidden="false" customHeight="true" outlineLevel="0" collapsed="false">
      <c r="A1833" s="10" t="s">
        <v>253</v>
      </c>
      <c r="B1833" s="10"/>
      <c r="C1833" s="13" t="str">
        <f aca="false">'01 ADMIN_ORDER'!I50&amp;" / "&amp;IF('04 KESIAPAN'!B50="","UOM BELUM DIISI",'04 KESIAPAN'!B50)</f>
        <v>1950 / UOM BELUM DIISI</v>
      </c>
      <c r="D1833" s="13"/>
      <c r="E1833" s="13"/>
      <c r="F1833" s="13"/>
      <c r="G1833" s="13"/>
      <c r="H1833" s="13"/>
    </row>
    <row r="1834" customFormat="false" ht="18" hidden="false" customHeight="true" outlineLevel="0" collapsed="false">
      <c r="A1834" s="13" t="str">
        <f aca="false">IF('04 KESIAPAN'!C50="","SISTEM UKURAN BELUM DIISI",'04 KESIAPAN'!C50)&amp;" | Tanda -: "&amp;IF('04 KESIAPAN'!D50="","BELUM DIKONFIRMASI",'04 KESIAPAN'!D50)</f>
        <v>SISTEM UKURAN BELUM DIISI | Tanda -: BELUM DIKONFIRMASI</v>
      </c>
      <c r="B1834" s="13"/>
      <c r="C1834" s="13"/>
      <c r="D1834" s="13"/>
      <c r="E1834" s="13"/>
      <c r="F1834" s="13"/>
      <c r="G1834" s="13"/>
      <c r="H1834" s="13"/>
    </row>
    <row r="1835" customFormat="false" ht="18" hidden="false" customHeight="true" outlineLevel="0" collapsed="false">
      <c r="A1835" s="7" t="s">
        <v>254</v>
      </c>
      <c r="B1835" s="7"/>
      <c r="C1835" s="7"/>
      <c r="D1835" s="7"/>
      <c r="E1835" s="7"/>
      <c r="F1835" s="7"/>
      <c r="G1835" s="7"/>
      <c r="H1835" s="7"/>
    </row>
    <row r="1836" customFormat="false" ht="18" hidden="false" customHeight="true" outlineLevel="0" collapsed="false">
      <c r="A1836" s="14" t="s">
        <v>214</v>
      </c>
      <c r="B1836" s="0" t="n">
        <f aca="false">'02 SIZE_RUN'!D50</f>
        <v>0</v>
      </c>
      <c r="C1836" s="14" t="s">
        <v>215</v>
      </c>
      <c r="D1836" s="0" t="n">
        <f aca="false">'02 SIZE_RUN'!E50</f>
        <v>0</v>
      </c>
      <c r="E1836" s="14" t="s">
        <v>216</v>
      </c>
      <c r="F1836" s="0" t="n">
        <f aca="false">'02 SIZE_RUN'!F50</f>
        <v>0</v>
      </c>
      <c r="G1836" s="14" t="s">
        <v>217</v>
      </c>
      <c r="H1836" s="0" t="n">
        <f aca="false">'02 SIZE_RUN'!G50</f>
        <v>0</v>
      </c>
    </row>
    <row r="1837" customFormat="false" ht="18" hidden="false" customHeight="true" outlineLevel="0" collapsed="false">
      <c r="A1837" s="14" t="s">
        <v>218</v>
      </c>
      <c r="B1837" s="0" t="n">
        <f aca="false">'02 SIZE_RUN'!H50</f>
        <v>0</v>
      </c>
      <c r="C1837" s="14" t="s">
        <v>219</v>
      </c>
      <c r="D1837" s="0" t="n">
        <f aca="false">'02 SIZE_RUN'!I50</f>
        <v>0</v>
      </c>
      <c r="E1837" s="14" t="s">
        <v>220</v>
      </c>
      <c r="F1837" s="0" t="n">
        <f aca="false">'02 SIZE_RUN'!J50</f>
        <v>0</v>
      </c>
      <c r="G1837" s="14" t="s">
        <v>221</v>
      </c>
      <c r="H1837" s="0" t="n">
        <f aca="false">'02 SIZE_RUN'!K50</f>
        <v>0</v>
      </c>
    </row>
    <row r="1838" customFormat="false" ht="18" hidden="false" customHeight="true" outlineLevel="0" collapsed="false">
      <c r="A1838" s="14" t="s">
        <v>222</v>
      </c>
      <c r="B1838" s="0" t="n">
        <f aca="false">'02 SIZE_RUN'!L50</f>
        <v>195</v>
      </c>
      <c r="C1838" s="14" t="s">
        <v>223</v>
      </c>
      <c r="D1838" s="0" t="n">
        <f aca="false">'02 SIZE_RUN'!M50</f>
        <v>390</v>
      </c>
      <c r="E1838" s="14" t="s">
        <v>224</v>
      </c>
      <c r="F1838" s="0" t="n">
        <f aca="false">'02 SIZE_RUN'!N50</f>
        <v>0</v>
      </c>
      <c r="G1838" s="14" t="s">
        <v>225</v>
      </c>
      <c r="H1838" s="0" t="n">
        <f aca="false">'02 SIZE_RUN'!O50</f>
        <v>390</v>
      </c>
    </row>
    <row r="1839" customFormat="false" ht="18" hidden="false" customHeight="true" outlineLevel="0" collapsed="false">
      <c r="A1839" s="14" t="s">
        <v>226</v>
      </c>
      <c r="B1839" s="0" t="n">
        <f aca="false">'02 SIZE_RUN'!P50</f>
        <v>390</v>
      </c>
      <c r="C1839" s="14" t="s">
        <v>227</v>
      </c>
      <c r="D1839" s="0" t="n">
        <f aca="false">'02 SIZE_RUN'!Q50</f>
        <v>0</v>
      </c>
      <c r="E1839" s="14" t="s">
        <v>228</v>
      </c>
      <c r="F1839" s="0" t="n">
        <f aca="false">'02 SIZE_RUN'!R50</f>
        <v>195</v>
      </c>
      <c r="G1839" s="14" t="s">
        <v>229</v>
      </c>
      <c r="H1839" s="0" t="n">
        <f aca="false">'02 SIZE_RUN'!S50</f>
        <v>195</v>
      </c>
    </row>
    <row r="1840" customFormat="false" ht="18" hidden="false" customHeight="true" outlineLevel="0" collapsed="false">
      <c r="A1840" s="14" t="s">
        <v>230</v>
      </c>
      <c r="B1840" s="0" t="n">
        <f aca="false">'02 SIZE_RUN'!T50</f>
        <v>0</v>
      </c>
      <c r="C1840" s="14" t="s">
        <v>231</v>
      </c>
      <c r="D1840" s="0" t="n">
        <f aca="false">'02 SIZE_RUN'!U50</f>
        <v>195</v>
      </c>
      <c r="E1840" s="14" t="s">
        <v>232</v>
      </c>
      <c r="F1840" s="0" t="n">
        <f aca="false">'02 SIZE_RUN'!V50</f>
        <v>0</v>
      </c>
      <c r="G1840" s="14" t="s">
        <v>233</v>
      </c>
      <c r="H1840" s="0" t="n">
        <f aca="false">'02 SIZE_RUN'!W50</f>
        <v>0</v>
      </c>
    </row>
    <row r="1841" customFormat="false" ht="18" hidden="false" customHeight="true" outlineLevel="0" collapsed="false">
      <c r="A1841" s="14" t="s">
        <v>234</v>
      </c>
      <c r="B1841" s="0" t="n">
        <f aca="false">'02 SIZE_RUN'!X50</f>
        <v>0</v>
      </c>
      <c r="C1841" s="14" t="s">
        <v>235</v>
      </c>
      <c r="D1841" s="0" t="n">
        <f aca="false">'02 SIZE_RUN'!Y50</f>
        <v>0</v>
      </c>
      <c r="E1841" s="14" t="s">
        <v>236</v>
      </c>
      <c r="F1841" s="0" t="n">
        <f aca="false">'02 SIZE_RUN'!Z50</f>
        <v>0</v>
      </c>
      <c r="G1841" s="14" t="s">
        <v>237</v>
      </c>
      <c r="H1841" s="0" t="n">
        <f aca="false">'02 SIZE_RUN'!AA50</f>
        <v>0</v>
      </c>
    </row>
    <row r="1842" customFormat="false" ht="18" hidden="false" customHeight="true" outlineLevel="0" collapsed="false">
      <c r="A1842" s="14" t="s">
        <v>238</v>
      </c>
      <c r="B1842" s="0" t="n">
        <f aca="false">'02 SIZE_RUN'!AB50</f>
        <v>0</v>
      </c>
      <c r="C1842" s="14" t="s">
        <v>239</v>
      </c>
      <c r="D1842" s="0" t="n">
        <f aca="false">'02 SIZE_RUN'!AC50</f>
        <v>0</v>
      </c>
      <c r="E1842" s="14" t="s">
        <v>240</v>
      </c>
      <c r="F1842" s="0" t="n">
        <f aca="false">'02 SIZE_RUN'!AD50</f>
        <v>0</v>
      </c>
      <c r="G1842" s="14" t="s">
        <v>241</v>
      </c>
      <c r="H1842" s="0" t="n">
        <f aca="false">'02 SIZE_RUN'!AE50</f>
        <v>0</v>
      </c>
    </row>
    <row r="1843" customFormat="false" ht="18" hidden="false" customHeight="true" outlineLevel="0" collapsed="false">
      <c r="A1843" s="14" t="s">
        <v>242</v>
      </c>
      <c r="B1843" s="0" t="n">
        <f aca="false">'02 SIZE_RUN'!AF50</f>
        <v>0</v>
      </c>
    </row>
    <row r="1844" customFormat="false" ht="18" hidden="false" customHeight="true" outlineLevel="0" collapsed="false">
      <c r="A1844" s="10" t="str">
        <f aca="false">"TOTAL SIZE: "&amp;'02 SIZE_RUN'!AG50&amp;" | SELISIH: "&amp;'02 SIZE_RUN'!AH50</f>
        <v>TOTAL SIZE: 1950 | SELISIH: 0</v>
      </c>
      <c r="B1844" s="10"/>
      <c r="C1844" s="10"/>
      <c r="D1844" s="10"/>
      <c r="E1844" s="10"/>
      <c r="F1844" s="10"/>
      <c r="G1844" s="10"/>
      <c r="H1844" s="10"/>
    </row>
    <row r="1845" customFormat="false" ht="18" hidden="false" customHeight="true" outlineLevel="0" collapsed="false">
      <c r="A1845" s="10" t="s">
        <v>255</v>
      </c>
      <c r="B1845" s="10"/>
      <c r="C1845" s="10"/>
      <c r="D1845" s="13" t="str">
        <f aca="false">IF('01 ADMIN_ORDER'!P50="","BELUM DITETAPKAN",TEXT('01 ADMIN_ORDER'!P50,"dd mmm yyyy"))</f>
        <v>BELUM DITETAPKAN</v>
      </c>
      <c r="E1845" s="13"/>
      <c r="F1845" s="13"/>
      <c r="G1845" s="13"/>
      <c r="H1845" s="13"/>
    </row>
    <row r="1846" customFormat="false" ht="18" hidden="false" customHeight="true" outlineLevel="0" collapsed="false">
      <c r="A1846" s="10" t="s">
        <v>256</v>
      </c>
      <c r="B1846" s="10"/>
      <c r="C1846" s="10"/>
      <c r="D1846" s="13" t="str">
        <f aca="false">IF('01 ADMIN_ORDER'!Q50="","BELUM DITETAPKAN",TEXT('01 ADMIN_ORDER'!Q50,"dd mmm yyyy"))</f>
        <v>BELUM DITETAPKAN</v>
      </c>
      <c r="E1846" s="13"/>
      <c r="F1846" s="13"/>
      <c r="G1846" s="13"/>
      <c r="H1846" s="13"/>
    </row>
    <row r="1847" customFormat="false" ht="25.5" hidden="false" customHeight="true" outlineLevel="0" collapsed="false">
      <c r="A1847" s="12" t="str">
        <f aca="false">"REFERENSI ASSEMBLY (bukan target upper): "&amp;TEXT('01 ADMIN_ORDER'!M50,"dd mmm yyyy")&amp;" - "&amp;TEXT('01 ADMIN_ORDER'!N50,"dd mmm yyyy")</f>
        <v>REFERENSI ASSEMBLY (bukan target upper): 09 Oct 2026 - 13 Oct 2026</v>
      </c>
      <c r="B1847" s="12"/>
      <c r="C1847" s="12"/>
      <c r="D1847" s="12"/>
      <c r="E1847" s="12"/>
      <c r="F1847" s="12"/>
      <c r="G1847" s="12"/>
      <c r="H1847" s="12"/>
    </row>
    <row r="1848" customFormat="false" ht="18" hidden="false" customHeight="true" outlineLevel="0" collapsed="false">
      <c r="A1848" s="10" t="s">
        <v>257</v>
      </c>
      <c r="B1848" s="10"/>
      <c r="C1848" s="10"/>
      <c r="D1848" s="13" t="str">
        <f aca="false">IF('04 KESIAPAN'!G50="","BELUM DIISI",'04 KESIAPAN'!G50)</f>
        <v>BELUM DIISI</v>
      </c>
      <c r="E1848" s="13"/>
      <c r="F1848" s="13"/>
      <c r="G1848" s="13"/>
      <c r="H1848" s="13"/>
    </row>
    <row r="1849" customFormat="false" ht="18" hidden="false" customHeight="true" outlineLevel="0" collapsed="false">
      <c r="A1849" s="10" t="s">
        <v>258</v>
      </c>
      <c r="B1849" s="10"/>
      <c r="C1849" s="10"/>
      <c r="D1849" s="13" t="str">
        <f aca="false">IF('04 KESIAPAN'!H50="","BELUM DIISI",'04 KESIAPAN'!H50)</f>
        <v>BELUM DIISI</v>
      </c>
      <c r="E1849" s="13"/>
      <c r="F1849" s="13"/>
      <c r="G1849" s="13"/>
      <c r="H1849" s="13"/>
    </row>
    <row r="1850" customFormat="false" ht="18" hidden="false" customHeight="true" outlineLevel="0" collapsed="false">
      <c r="A1850" s="10" t="s">
        <v>259</v>
      </c>
      <c r="B1850" s="10"/>
      <c r="C1850" s="10"/>
      <c r="D1850" s="13" t="str">
        <f aca="false">IF('04 KESIAPAN'!I50="","BELUM DIISI",'04 KESIAPAN'!I50)</f>
        <v>BELUM DIISI</v>
      </c>
      <c r="E1850" s="13"/>
      <c r="F1850" s="13"/>
      <c r="G1850" s="13"/>
      <c r="H1850" s="13"/>
    </row>
    <row r="1851" customFormat="false" ht="18" hidden="false" customHeight="true" outlineLevel="0" collapsed="false">
      <c r="A1851" s="10" t="s">
        <v>260</v>
      </c>
      <c r="B1851" s="10"/>
      <c r="C1851" s="10"/>
      <c r="D1851" s="13" t="str">
        <f aca="false">IF('04 KESIAPAN'!K50="","BELUM DIISI",'04 KESIAPAN'!K50)</f>
        <v>BELUM DIISI</v>
      </c>
      <c r="E1851" s="13"/>
      <c r="F1851" s="13"/>
      <c r="G1851" s="13"/>
      <c r="H1851" s="13"/>
    </row>
    <row r="1852" customFormat="false" ht="18" hidden="false" customHeight="true" outlineLevel="0" collapsed="false">
      <c r="A1852" s="10" t="s">
        <v>261</v>
      </c>
      <c r="B1852" s="10"/>
      <c r="C1852" s="10"/>
      <c r="D1852" s="13" t="str">
        <f aca="false">IF('04 KESIAPAN'!L50="","BELUM DIISI",'04 KESIAPAN'!L50)</f>
        <v>BELUM DIISI</v>
      </c>
      <c r="E1852" s="13"/>
      <c r="F1852" s="13"/>
      <c r="G1852" s="13"/>
      <c r="H1852" s="13"/>
    </row>
    <row r="1853" customFormat="false" ht="18" hidden="false" customHeight="true" outlineLevel="0" collapsed="false">
      <c r="A1853" s="10" t="s">
        <v>262</v>
      </c>
      <c r="B1853" s="10"/>
      <c r="C1853" s="10"/>
      <c r="D1853" s="13" t="str">
        <f aca="false">IF('04 KESIAPAN'!N50="","BELUM DIISI",'04 KESIAPAN'!N50)</f>
        <v>BELUM DIISI</v>
      </c>
      <c r="E1853" s="13"/>
      <c r="F1853" s="13"/>
      <c r="G1853" s="13"/>
      <c r="H1853" s="13"/>
    </row>
    <row r="1854" customFormat="false" ht="18" hidden="false" customHeight="true" outlineLevel="0" collapsed="false">
      <c r="A1854" s="10" t="s">
        <v>263</v>
      </c>
      <c r="B1854" s="10"/>
      <c r="C1854" s="10"/>
      <c r="D1854" s="13" t="str">
        <f aca="false">IF('04 KESIAPAN'!P50="","BELUM DIISI",'04 KESIAPAN'!P50)</f>
        <v>BELUM DIISI</v>
      </c>
      <c r="E1854" s="13"/>
      <c r="F1854" s="13"/>
      <c r="G1854" s="13"/>
      <c r="H1854" s="13"/>
    </row>
    <row r="1855" customFormat="false" ht="18" hidden="false" customHeight="true" outlineLevel="0" collapsed="false">
      <c r="A1855" s="7" t="s">
        <v>264</v>
      </c>
      <c r="B1855" s="7"/>
      <c r="C1855" s="7"/>
      <c r="D1855" s="7"/>
      <c r="E1855" s="7"/>
      <c r="F1855" s="7"/>
      <c r="G1855" s="7"/>
      <c r="H1855" s="7"/>
    </row>
    <row r="1856" customFormat="false" ht="18" hidden="false" customHeight="true" outlineLevel="0" collapsed="false">
      <c r="A1856" s="13"/>
      <c r="B1856" s="13"/>
      <c r="C1856" s="13"/>
      <c r="D1856" s="13"/>
      <c r="E1856" s="13"/>
      <c r="F1856" s="13"/>
      <c r="G1856" s="13"/>
      <c r="H1856" s="13"/>
    </row>
    <row r="1857" customFormat="false" ht="18" hidden="false" customHeight="true" outlineLevel="0" collapsed="false">
      <c r="A1857" s="13"/>
      <c r="B1857" s="13"/>
      <c r="C1857" s="13"/>
      <c r="D1857" s="13"/>
      <c r="E1857" s="13"/>
      <c r="F1857" s="13"/>
      <c r="G1857" s="13"/>
      <c r="H1857" s="13"/>
    </row>
    <row r="1858" customFormat="false" ht="18" hidden="false" customHeight="true" outlineLevel="0" collapsed="false">
      <c r="A1858" s="13"/>
      <c r="B1858" s="13"/>
      <c r="C1858" s="13"/>
      <c r="D1858" s="13"/>
      <c r="E1858" s="13"/>
      <c r="F1858" s="13"/>
      <c r="G1858" s="13"/>
      <c r="H1858" s="13"/>
    </row>
    <row r="1859" customFormat="false" ht="18" hidden="false" customHeight="true" outlineLevel="0" collapsed="false">
      <c r="A1859" s="12" t="s">
        <v>265</v>
      </c>
      <c r="B1859" s="12"/>
      <c r="C1859" s="12"/>
      <c r="D1859" s="12"/>
      <c r="E1859" s="12" t="s">
        <v>266</v>
      </c>
      <c r="F1859" s="12"/>
      <c r="G1859" s="12"/>
      <c r="H1859" s="12"/>
    </row>
    <row r="1860" customFormat="false" ht="18" hidden="false" customHeight="true" outlineLevel="0" collapsed="false">
      <c r="A1860" s="12" t="s">
        <v>315</v>
      </c>
      <c r="B1860" s="12"/>
      <c r="C1860" s="12"/>
      <c r="D1860" s="12"/>
      <c r="E1860" s="12"/>
      <c r="F1860" s="12"/>
      <c r="G1860" s="12"/>
      <c r="H1860" s="12"/>
    </row>
    <row r="1861" customFormat="false" ht="18" hidden="false" customHeight="true" outlineLevel="0" collapsed="false"/>
    <row r="1862" customFormat="false" ht="18" hidden="false" customHeight="true" outlineLevel="0" collapsed="false"/>
    <row r="1863" customFormat="false" ht="25.5" hidden="false" customHeight="true" outlineLevel="0" collapsed="false">
      <c r="A1863" s="7" t="s">
        <v>246</v>
      </c>
      <c r="B1863" s="7"/>
      <c r="C1863" s="7"/>
      <c r="D1863" s="7"/>
      <c r="E1863" s="7"/>
      <c r="F1863" s="7"/>
      <c r="G1863" s="7"/>
      <c r="H1863" s="7"/>
    </row>
    <row r="1864" customFormat="false" ht="18" hidden="false" customHeight="true" outlineLevel="0" collapsed="false">
      <c r="A1864" s="8" t="str">
        <f aca="false">'01 ADMIN_ORDER'!R51</f>
        <v>DRAFT - PERLU VERIFIKASI</v>
      </c>
      <c r="B1864" s="8"/>
      <c r="C1864" s="8"/>
      <c r="D1864" s="8"/>
      <c r="E1864" s="8"/>
      <c r="F1864" s="8"/>
      <c r="G1864" s="8"/>
      <c r="H1864" s="8"/>
    </row>
    <row r="1865" customFormat="false" ht="18" hidden="false" customHeight="true" outlineLevel="0" collapsed="false">
      <c r="A1865" s="9" t="s">
        <v>247</v>
      </c>
      <c r="B1865" s="9"/>
      <c r="C1865" s="9"/>
      <c r="D1865" s="9"/>
      <c r="E1865" s="9"/>
      <c r="F1865" s="9"/>
      <c r="G1865" s="9"/>
      <c r="H1865" s="9"/>
    </row>
    <row r="1866" customFormat="false" ht="18" hidden="false" customHeight="true" outlineLevel="0" collapsed="false">
      <c r="A1866" s="10" t="s">
        <v>248</v>
      </c>
      <c r="B1866" s="10"/>
      <c r="C1866" s="11" t="str">
        <f aca="false">'01 ADMIN_ORDER'!A51</f>
        <v>186/10/50 (59)</v>
      </c>
      <c r="D1866" s="11"/>
      <c r="E1866" s="11"/>
      <c r="F1866" s="11"/>
      <c r="G1866" s="11"/>
      <c r="H1866" s="11"/>
    </row>
    <row r="1867" customFormat="false" ht="18" hidden="false" customHeight="true" outlineLevel="0" collapsed="false">
      <c r="A1867" s="10" t="s">
        <v>249</v>
      </c>
      <c r="B1867" s="10"/>
      <c r="C1867" s="12" t="str">
        <f aca="false">'01 ADMIN_ORDER'!C51&amp;" / "&amp;'01 ADMIN_ORDER'!D51</f>
        <v>FRONTCOURT LOW / LA6615</v>
      </c>
      <c r="D1867" s="12"/>
      <c r="E1867" s="12"/>
      <c r="F1867" s="12"/>
      <c r="G1867" s="12"/>
      <c r="H1867" s="12"/>
    </row>
    <row r="1868" customFormat="false" ht="18" hidden="false" customHeight="true" outlineLevel="0" collapsed="false">
      <c r="A1868" s="10" t="s">
        <v>250</v>
      </c>
      <c r="B1868" s="10"/>
      <c r="C1868" s="12" t="str">
        <f aca="false">'01 ADMIN_ORDER'!E51</f>
        <v>4502069764-3</v>
      </c>
      <c r="D1868" s="12"/>
      <c r="E1868" s="12"/>
      <c r="F1868" s="12"/>
      <c r="G1868" s="12"/>
      <c r="H1868" s="12"/>
    </row>
    <row r="1869" customFormat="false" ht="27.75" hidden="false" customHeight="true" outlineLevel="0" collapsed="false">
      <c r="A1869" s="10" t="s">
        <v>251</v>
      </c>
      <c r="B1869" s="10"/>
      <c r="C1869" s="12" t="str">
        <f aca="false">'01 ADMIN_ORDER'!H51</f>
        <v>FTWR WHITE/CORE BLACK/GREY ONE</v>
      </c>
      <c r="D1869" s="12"/>
      <c r="E1869" s="12"/>
      <c r="F1869" s="12"/>
      <c r="G1869" s="12"/>
      <c r="H1869" s="12"/>
    </row>
    <row r="1870" customFormat="false" ht="18" hidden="false" customHeight="true" outlineLevel="0" collapsed="false">
      <c r="A1870" s="10" t="s">
        <v>252</v>
      </c>
      <c r="B1870" s="10"/>
      <c r="C1870" s="12" t="str">
        <f aca="false">'01 ADMIN_ORDER'!B51&amp;" / "&amp;'01 ADMIN_ORDER'!G51</f>
        <v>B-19 / South Africa</v>
      </c>
      <c r="D1870" s="12"/>
      <c r="E1870" s="12"/>
      <c r="F1870" s="12"/>
      <c r="G1870" s="12"/>
      <c r="H1870" s="12"/>
    </row>
    <row r="1871" customFormat="false" ht="18" hidden="false" customHeight="true" outlineLevel="0" collapsed="false">
      <c r="A1871" s="10" t="s">
        <v>253</v>
      </c>
      <c r="B1871" s="10"/>
      <c r="C1871" s="13" t="str">
        <f aca="false">'01 ADMIN_ORDER'!I51&amp;" / "&amp;IF('04 KESIAPAN'!B51="","UOM BELUM DIISI",'04 KESIAPAN'!B51)</f>
        <v>365 / UOM BELUM DIISI</v>
      </c>
      <c r="D1871" s="13"/>
      <c r="E1871" s="13"/>
      <c r="F1871" s="13"/>
      <c r="G1871" s="13"/>
      <c r="H1871" s="13"/>
    </row>
    <row r="1872" customFormat="false" ht="18" hidden="false" customHeight="true" outlineLevel="0" collapsed="false">
      <c r="A1872" s="13" t="str">
        <f aca="false">IF('04 KESIAPAN'!C51="","SISTEM UKURAN BELUM DIISI",'04 KESIAPAN'!C51)&amp;" | Tanda -: "&amp;IF('04 KESIAPAN'!D51="","BELUM DIKONFIRMASI",'04 KESIAPAN'!D51)</f>
        <v>SISTEM UKURAN BELUM DIISI | Tanda -: BELUM DIKONFIRMASI</v>
      </c>
      <c r="B1872" s="13"/>
      <c r="C1872" s="13"/>
      <c r="D1872" s="13"/>
      <c r="E1872" s="13"/>
      <c r="F1872" s="13"/>
      <c r="G1872" s="13"/>
      <c r="H1872" s="13"/>
    </row>
    <row r="1873" customFormat="false" ht="18" hidden="false" customHeight="true" outlineLevel="0" collapsed="false">
      <c r="A1873" s="7" t="s">
        <v>254</v>
      </c>
      <c r="B1873" s="7"/>
      <c r="C1873" s="7"/>
      <c r="D1873" s="7"/>
      <c r="E1873" s="7"/>
      <c r="F1873" s="7"/>
      <c r="G1873" s="7"/>
      <c r="H1873" s="7"/>
    </row>
    <row r="1874" customFormat="false" ht="18" hidden="false" customHeight="true" outlineLevel="0" collapsed="false">
      <c r="A1874" s="14" t="s">
        <v>214</v>
      </c>
      <c r="B1874" s="0" t="n">
        <f aca="false">'02 SIZE_RUN'!D51</f>
        <v>0</v>
      </c>
      <c r="C1874" s="14" t="s">
        <v>215</v>
      </c>
      <c r="D1874" s="0" t="n">
        <f aca="false">'02 SIZE_RUN'!E51</f>
        <v>0</v>
      </c>
      <c r="E1874" s="14" t="s">
        <v>216</v>
      </c>
      <c r="F1874" s="0" t="n">
        <f aca="false">'02 SIZE_RUN'!F51</f>
        <v>0</v>
      </c>
      <c r="G1874" s="14" t="s">
        <v>217</v>
      </c>
      <c r="H1874" s="0" t="n">
        <f aca="false">'02 SIZE_RUN'!G51</f>
        <v>0</v>
      </c>
    </row>
    <row r="1875" customFormat="false" ht="18" hidden="false" customHeight="true" outlineLevel="0" collapsed="false">
      <c r="A1875" s="14" t="s">
        <v>218</v>
      </c>
      <c r="B1875" s="0" t="n">
        <f aca="false">'02 SIZE_RUN'!H51</f>
        <v>0</v>
      </c>
      <c r="C1875" s="14" t="s">
        <v>219</v>
      </c>
      <c r="D1875" s="0" t="n">
        <f aca="false">'02 SIZE_RUN'!I51</f>
        <v>0</v>
      </c>
      <c r="E1875" s="14" t="s">
        <v>220</v>
      </c>
      <c r="F1875" s="0" t="n">
        <f aca="false">'02 SIZE_RUN'!J51</f>
        <v>47</v>
      </c>
      <c r="G1875" s="14" t="s">
        <v>221</v>
      </c>
      <c r="H1875" s="0" t="n">
        <f aca="false">'02 SIZE_RUN'!K51</f>
        <v>0</v>
      </c>
    </row>
    <row r="1876" customFormat="false" ht="18" hidden="false" customHeight="true" outlineLevel="0" collapsed="false">
      <c r="A1876" s="14" t="s">
        <v>222</v>
      </c>
      <c r="B1876" s="0" t="n">
        <f aca="false">'02 SIZE_RUN'!L51</f>
        <v>126</v>
      </c>
      <c r="C1876" s="14" t="s">
        <v>223</v>
      </c>
      <c r="D1876" s="0" t="n">
        <f aca="false">'02 SIZE_RUN'!M51</f>
        <v>0</v>
      </c>
      <c r="E1876" s="14" t="s">
        <v>224</v>
      </c>
      <c r="F1876" s="0" t="n">
        <f aca="false">'02 SIZE_RUN'!N51</f>
        <v>120</v>
      </c>
      <c r="G1876" s="14" t="s">
        <v>225</v>
      </c>
      <c r="H1876" s="0" t="n">
        <f aca="false">'02 SIZE_RUN'!O51</f>
        <v>0</v>
      </c>
    </row>
    <row r="1877" customFormat="false" ht="18" hidden="false" customHeight="true" outlineLevel="0" collapsed="false">
      <c r="A1877" s="14" t="s">
        <v>226</v>
      </c>
      <c r="B1877" s="0" t="n">
        <f aca="false">'02 SIZE_RUN'!P51</f>
        <v>56</v>
      </c>
      <c r="C1877" s="14" t="s">
        <v>227</v>
      </c>
      <c r="D1877" s="0" t="n">
        <f aca="false">'02 SIZE_RUN'!Q51</f>
        <v>0</v>
      </c>
      <c r="E1877" s="14" t="s">
        <v>228</v>
      </c>
      <c r="F1877" s="0" t="n">
        <f aca="false">'02 SIZE_RUN'!R51</f>
        <v>16</v>
      </c>
      <c r="G1877" s="14" t="s">
        <v>229</v>
      </c>
      <c r="H1877" s="0" t="n">
        <f aca="false">'02 SIZE_RUN'!S51</f>
        <v>0</v>
      </c>
    </row>
    <row r="1878" customFormat="false" ht="18" hidden="false" customHeight="true" outlineLevel="0" collapsed="false">
      <c r="A1878" s="14" t="s">
        <v>230</v>
      </c>
      <c r="B1878" s="0" t="n">
        <f aca="false">'02 SIZE_RUN'!T51</f>
        <v>0</v>
      </c>
      <c r="C1878" s="14" t="s">
        <v>231</v>
      </c>
      <c r="D1878" s="0" t="n">
        <f aca="false">'02 SIZE_RUN'!U51</f>
        <v>0</v>
      </c>
      <c r="E1878" s="14" t="s">
        <v>232</v>
      </c>
      <c r="F1878" s="0" t="n">
        <f aca="false">'02 SIZE_RUN'!V51</f>
        <v>0</v>
      </c>
      <c r="G1878" s="14" t="s">
        <v>233</v>
      </c>
      <c r="H1878" s="0" t="n">
        <f aca="false">'02 SIZE_RUN'!W51</f>
        <v>0</v>
      </c>
    </row>
    <row r="1879" customFormat="false" ht="18" hidden="false" customHeight="true" outlineLevel="0" collapsed="false">
      <c r="A1879" s="14" t="s">
        <v>234</v>
      </c>
      <c r="B1879" s="0" t="n">
        <f aca="false">'02 SIZE_RUN'!X51</f>
        <v>0</v>
      </c>
      <c r="C1879" s="14" t="s">
        <v>235</v>
      </c>
      <c r="D1879" s="0" t="n">
        <f aca="false">'02 SIZE_RUN'!Y51</f>
        <v>0</v>
      </c>
      <c r="E1879" s="14" t="s">
        <v>236</v>
      </c>
      <c r="F1879" s="0" t="n">
        <f aca="false">'02 SIZE_RUN'!Z51</f>
        <v>0</v>
      </c>
      <c r="G1879" s="14" t="s">
        <v>237</v>
      </c>
      <c r="H1879" s="0" t="n">
        <f aca="false">'02 SIZE_RUN'!AA51</f>
        <v>0</v>
      </c>
    </row>
    <row r="1880" customFormat="false" ht="18" hidden="false" customHeight="true" outlineLevel="0" collapsed="false">
      <c r="A1880" s="14" t="s">
        <v>238</v>
      </c>
      <c r="B1880" s="0" t="n">
        <f aca="false">'02 SIZE_RUN'!AB51</f>
        <v>0</v>
      </c>
      <c r="C1880" s="14" t="s">
        <v>239</v>
      </c>
      <c r="D1880" s="0" t="n">
        <f aca="false">'02 SIZE_RUN'!AC51</f>
        <v>0</v>
      </c>
      <c r="E1880" s="14" t="s">
        <v>240</v>
      </c>
      <c r="F1880" s="0" t="n">
        <f aca="false">'02 SIZE_RUN'!AD51</f>
        <v>0</v>
      </c>
      <c r="G1880" s="14" t="s">
        <v>241</v>
      </c>
      <c r="H1880" s="0" t="n">
        <f aca="false">'02 SIZE_RUN'!AE51</f>
        <v>0</v>
      </c>
    </row>
    <row r="1881" customFormat="false" ht="18" hidden="false" customHeight="true" outlineLevel="0" collapsed="false">
      <c r="A1881" s="14" t="s">
        <v>242</v>
      </c>
      <c r="B1881" s="0" t="n">
        <f aca="false">'02 SIZE_RUN'!AF51</f>
        <v>0</v>
      </c>
    </row>
    <row r="1882" customFormat="false" ht="18" hidden="false" customHeight="true" outlineLevel="0" collapsed="false">
      <c r="A1882" s="10" t="str">
        <f aca="false">"TOTAL SIZE: "&amp;'02 SIZE_RUN'!AG51&amp;" | SELISIH: "&amp;'02 SIZE_RUN'!AH51</f>
        <v>TOTAL SIZE: 365 | SELISIH: 0</v>
      </c>
      <c r="B1882" s="10"/>
      <c r="C1882" s="10"/>
      <c r="D1882" s="10"/>
      <c r="E1882" s="10"/>
      <c r="F1882" s="10"/>
      <c r="G1882" s="10"/>
      <c r="H1882" s="10"/>
    </row>
    <row r="1883" customFormat="false" ht="18" hidden="false" customHeight="true" outlineLevel="0" collapsed="false">
      <c r="A1883" s="10" t="s">
        <v>255</v>
      </c>
      <c r="B1883" s="10"/>
      <c r="C1883" s="10"/>
      <c r="D1883" s="13" t="str">
        <f aca="false">IF('01 ADMIN_ORDER'!P51="","BELUM DITETAPKAN",TEXT('01 ADMIN_ORDER'!P51,"dd mmm yyyy"))</f>
        <v>BELUM DITETAPKAN</v>
      </c>
      <c r="E1883" s="13"/>
      <c r="F1883" s="13"/>
      <c r="G1883" s="13"/>
      <c r="H1883" s="13"/>
    </row>
    <row r="1884" customFormat="false" ht="18" hidden="false" customHeight="true" outlineLevel="0" collapsed="false">
      <c r="A1884" s="10" t="s">
        <v>256</v>
      </c>
      <c r="B1884" s="10"/>
      <c r="C1884" s="10"/>
      <c r="D1884" s="13" t="str">
        <f aca="false">IF('01 ADMIN_ORDER'!Q51="","BELUM DITETAPKAN",TEXT('01 ADMIN_ORDER'!Q51,"dd mmm yyyy"))</f>
        <v>BELUM DITETAPKAN</v>
      </c>
      <c r="E1884" s="13"/>
      <c r="F1884" s="13"/>
      <c r="G1884" s="13"/>
      <c r="H1884" s="13"/>
    </row>
    <row r="1885" customFormat="false" ht="25.5" hidden="false" customHeight="true" outlineLevel="0" collapsed="false">
      <c r="A1885" s="12" t="str">
        <f aca="false">"REFERENSI ASSEMBLY (bukan target upper): "&amp;TEXT('01 ADMIN_ORDER'!M51,"dd mmm yyyy")&amp;" - "&amp;TEXT('01 ADMIN_ORDER'!N51,"dd mmm yyyy")</f>
        <v>REFERENSI ASSEMBLY (bukan target upper): 13 Oct 2026 - 14 Oct 2026</v>
      </c>
      <c r="B1885" s="12"/>
      <c r="C1885" s="12"/>
      <c r="D1885" s="12"/>
      <c r="E1885" s="12"/>
      <c r="F1885" s="12"/>
      <c r="G1885" s="12"/>
      <c r="H1885" s="12"/>
    </row>
    <row r="1886" customFormat="false" ht="18" hidden="false" customHeight="true" outlineLevel="0" collapsed="false">
      <c r="A1886" s="10" t="s">
        <v>257</v>
      </c>
      <c r="B1886" s="10"/>
      <c r="C1886" s="10"/>
      <c r="D1886" s="13" t="str">
        <f aca="false">IF('04 KESIAPAN'!G51="","BELUM DIISI",'04 KESIAPAN'!G51)</f>
        <v>BELUM DIISI</v>
      </c>
      <c r="E1886" s="13"/>
      <c r="F1886" s="13"/>
      <c r="G1886" s="13"/>
      <c r="H1886" s="13"/>
    </row>
    <row r="1887" customFormat="false" ht="18" hidden="false" customHeight="true" outlineLevel="0" collapsed="false">
      <c r="A1887" s="10" t="s">
        <v>258</v>
      </c>
      <c r="B1887" s="10"/>
      <c r="C1887" s="10"/>
      <c r="D1887" s="13" t="str">
        <f aca="false">IF('04 KESIAPAN'!H51="","BELUM DIISI",'04 KESIAPAN'!H51)</f>
        <v>BELUM DIISI</v>
      </c>
      <c r="E1887" s="13"/>
      <c r="F1887" s="13"/>
      <c r="G1887" s="13"/>
      <c r="H1887" s="13"/>
    </row>
    <row r="1888" customFormat="false" ht="18" hidden="false" customHeight="true" outlineLevel="0" collapsed="false">
      <c r="A1888" s="10" t="s">
        <v>259</v>
      </c>
      <c r="B1888" s="10"/>
      <c r="C1888" s="10"/>
      <c r="D1888" s="13" t="str">
        <f aca="false">IF('04 KESIAPAN'!I51="","BELUM DIISI",'04 KESIAPAN'!I51)</f>
        <v>BELUM DIISI</v>
      </c>
      <c r="E1888" s="13"/>
      <c r="F1888" s="13"/>
      <c r="G1888" s="13"/>
      <c r="H1888" s="13"/>
    </row>
    <row r="1889" customFormat="false" ht="18" hidden="false" customHeight="true" outlineLevel="0" collapsed="false">
      <c r="A1889" s="10" t="s">
        <v>260</v>
      </c>
      <c r="B1889" s="10"/>
      <c r="C1889" s="10"/>
      <c r="D1889" s="13" t="str">
        <f aca="false">IF('04 KESIAPAN'!K51="","BELUM DIISI",'04 KESIAPAN'!K51)</f>
        <v>BELUM DIISI</v>
      </c>
      <c r="E1889" s="13"/>
      <c r="F1889" s="13"/>
      <c r="G1889" s="13"/>
      <c r="H1889" s="13"/>
    </row>
    <row r="1890" customFormat="false" ht="18" hidden="false" customHeight="true" outlineLevel="0" collapsed="false">
      <c r="A1890" s="10" t="s">
        <v>261</v>
      </c>
      <c r="B1890" s="10"/>
      <c r="C1890" s="10"/>
      <c r="D1890" s="13" t="str">
        <f aca="false">IF('04 KESIAPAN'!L51="","BELUM DIISI",'04 KESIAPAN'!L51)</f>
        <v>BELUM DIISI</v>
      </c>
      <c r="E1890" s="13"/>
      <c r="F1890" s="13"/>
      <c r="G1890" s="13"/>
      <c r="H1890" s="13"/>
    </row>
    <row r="1891" customFormat="false" ht="18" hidden="false" customHeight="true" outlineLevel="0" collapsed="false">
      <c r="A1891" s="10" t="s">
        <v>262</v>
      </c>
      <c r="B1891" s="10"/>
      <c r="C1891" s="10"/>
      <c r="D1891" s="13" t="str">
        <f aca="false">IF('04 KESIAPAN'!N51="","BELUM DIISI",'04 KESIAPAN'!N51)</f>
        <v>BELUM DIISI</v>
      </c>
      <c r="E1891" s="13"/>
      <c r="F1891" s="13"/>
      <c r="G1891" s="13"/>
      <c r="H1891" s="13"/>
    </row>
    <row r="1892" customFormat="false" ht="18" hidden="false" customHeight="true" outlineLevel="0" collapsed="false">
      <c r="A1892" s="10" t="s">
        <v>263</v>
      </c>
      <c r="B1892" s="10"/>
      <c r="C1892" s="10"/>
      <c r="D1892" s="13" t="str">
        <f aca="false">IF('04 KESIAPAN'!P51="","BELUM DIISI",'04 KESIAPAN'!P51)</f>
        <v>BELUM DIISI</v>
      </c>
      <c r="E1892" s="13"/>
      <c r="F1892" s="13"/>
      <c r="G1892" s="13"/>
      <c r="H1892" s="13"/>
    </row>
    <row r="1893" customFormat="false" ht="18" hidden="false" customHeight="true" outlineLevel="0" collapsed="false">
      <c r="A1893" s="7" t="s">
        <v>264</v>
      </c>
      <c r="B1893" s="7"/>
      <c r="C1893" s="7"/>
      <c r="D1893" s="7"/>
      <c r="E1893" s="7"/>
      <c r="F1893" s="7"/>
      <c r="G1893" s="7"/>
      <c r="H1893" s="7"/>
    </row>
    <row r="1894" customFormat="false" ht="18" hidden="false" customHeight="true" outlineLevel="0" collapsed="false">
      <c r="A1894" s="13"/>
      <c r="B1894" s="13"/>
      <c r="C1894" s="13"/>
      <c r="D1894" s="13"/>
      <c r="E1894" s="13"/>
      <c r="F1894" s="13"/>
      <c r="G1894" s="13"/>
      <c r="H1894" s="13"/>
    </row>
    <row r="1895" customFormat="false" ht="18" hidden="false" customHeight="true" outlineLevel="0" collapsed="false">
      <c r="A1895" s="13"/>
      <c r="B1895" s="13"/>
      <c r="C1895" s="13"/>
      <c r="D1895" s="13"/>
      <c r="E1895" s="13"/>
      <c r="F1895" s="13"/>
      <c r="G1895" s="13"/>
      <c r="H1895" s="13"/>
    </row>
    <row r="1896" customFormat="false" ht="18" hidden="false" customHeight="true" outlineLevel="0" collapsed="false">
      <c r="A1896" s="13"/>
      <c r="B1896" s="13"/>
      <c r="C1896" s="13"/>
      <c r="D1896" s="13"/>
      <c r="E1896" s="13"/>
      <c r="F1896" s="13"/>
      <c r="G1896" s="13"/>
      <c r="H1896" s="13"/>
    </row>
    <row r="1897" customFormat="false" ht="18" hidden="false" customHeight="true" outlineLevel="0" collapsed="false">
      <c r="A1897" s="12" t="s">
        <v>265</v>
      </c>
      <c r="B1897" s="12"/>
      <c r="C1897" s="12"/>
      <c r="D1897" s="12"/>
      <c r="E1897" s="12" t="s">
        <v>266</v>
      </c>
      <c r="F1897" s="12"/>
      <c r="G1897" s="12"/>
      <c r="H1897" s="12"/>
    </row>
    <row r="1898" customFormat="false" ht="18" hidden="false" customHeight="true" outlineLevel="0" collapsed="false">
      <c r="A1898" s="12" t="s">
        <v>316</v>
      </c>
      <c r="B1898" s="12"/>
      <c r="C1898" s="12"/>
      <c r="D1898" s="12"/>
      <c r="E1898" s="12"/>
      <c r="F1898" s="12"/>
      <c r="G1898" s="12"/>
      <c r="H1898" s="12"/>
    </row>
    <row r="1899" customFormat="false" ht="18" hidden="false" customHeight="true" outlineLevel="0" collapsed="false"/>
    <row r="1900" customFormat="false" ht="18" hidden="false" customHeight="true" outlineLevel="0" collapsed="false"/>
    <row r="1901" customFormat="false" ht="25.5" hidden="false" customHeight="true" outlineLevel="0" collapsed="false">
      <c r="A1901" s="7" t="s">
        <v>246</v>
      </c>
      <c r="B1901" s="7"/>
      <c r="C1901" s="7"/>
      <c r="D1901" s="7"/>
      <c r="E1901" s="7"/>
      <c r="F1901" s="7"/>
      <c r="G1901" s="7"/>
      <c r="H1901" s="7"/>
    </row>
    <row r="1902" customFormat="false" ht="18" hidden="false" customHeight="true" outlineLevel="0" collapsed="false">
      <c r="A1902" s="8" t="str">
        <f aca="false">'01 ADMIN_ORDER'!R52</f>
        <v>DRAFT - PERLU VERIFIKASI</v>
      </c>
      <c r="B1902" s="8"/>
      <c r="C1902" s="8"/>
      <c r="D1902" s="8"/>
      <c r="E1902" s="8"/>
      <c r="F1902" s="8"/>
      <c r="G1902" s="8"/>
      <c r="H1902" s="8"/>
    </row>
    <row r="1903" customFormat="false" ht="18" hidden="false" customHeight="true" outlineLevel="0" collapsed="false">
      <c r="A1903" s="9" t="s">
        <v>247</v>
      </c>
      <c r="B1903" s="9"/>
      <c r="C1903" s="9"/>
      <c r="D1903" s="9"/>
      <c r="E1903" s="9"/>
      <c r="F1903" s="9"/>
      <c r="G1903" s="9"/>
      <c r="H1903" s="9"/>
    </row>
    <row r="1904" customFormat="false" ht="18" hidden="false" customHeight="true" outlineLevel="0" collapsed="false">
      <c r="A1904" s="10" t="s">
        <v>248</v>
      </c>
      <c r="B1904" s="10"/>
      <c r="C1904" s="11" t="str">
        <f aca="false">'01 ADMIN_ORDER'!A52</f>
        <v>187/10/51 (59)</v>
      </c>
      <c r="D1904" s="11"/>
      <c r="E1904" s="11"/>
      <c r="F1904" s="11"/>
      <c r="G1904" s="11"/>
      <c r="H1904" s="11"/>
    </row>
    <row r="1905" customFormat="false" ht="18" hidden="false" customHeight="true" outlineLevel="0" collapsed="false">
      <c r="A1905" s="10" t="s">
        <v>249</v>
      </c>
      <c r="B1905" s="10"/>
      <c r="C1905" s="12" t="str">
        <f aca="false">'01 ADMIN_ORDER'!C52&amp;" / "&amp;'01 ADMIN_ORDER'!D52</f>
        <v>FRONTCOURT LOW / LA6615</v>
      </c>
      <c r="D1905" s="12"/>
      <c r="E1905" s="12"/>
      <c r="F1905" s="12"/>
      <c r="G1905" s="12"/>
      <c r="H1905" s="12"/>
    </row>
    <row r="1906" customFormat="false" ht="18" hidden="false" customHeight="true" outlineLevel="0" collapsed="false">
      <c r="A1906" s="10" t="s">
        <v>250</v>
      </c>
      <c r="B1906" s="10"/>
      <c r="C1906" s="12" t="str">
        <f aca="false">'01 ADMIN_ORDER'!E52</f>
        <v>903276839</v>
      </c>
      <c r="D1906" s="12"/>
      <c r="E1906" s="12"/>
      <c r="F1906" s="12"/>
      <c r="G1906" s="12"/>
      <c r="H1906" s="12"/>
    </row>
    <row r="1907" customFormat="false" ht="27.75" hidden="false" customHeight="true" outlineLevel="0" collapsed="false">
      <c r="A1907" s="10" t="s">
        <v>251</v>
      </c>
      <c r="B1907" s="10"/>
      <c r="C1907" s="12" t="str">
        <f aca="false">'01 ADMIN_ORDER'!H52</f>
        <v>FTWR WHITE/CORE BLACK/GREY ONE</v>
      </c>
      <c r="D1907" s="12"/>
      <c r="E1907" s="12"/>
      <c r="F1907" s="12"/>
      <c r="G1907" s="12"/>
      <c r="H1907" s="12"/>
    </row>
    <row r="1908" customFormat="false" ht="18" hidden="false" customHeight="true" outlineLevel="0" collapsed="false">
      <c r="A1908" s="10" t="s">
        <v>252</v>
      </c>
      <c r="B1908" s="10"/>
      <c r="C1908" s="12" t="str">
        <f aca="false">'01 ADMIN_ORDER'!B52&amp;" / "&amp;'01 ADMIN_ORDER'!G52</f>
        <v>B-19 / Israel</v>
      </c>
      <c r="D1908" s="12"/>
      <c r="E1908" s="12"/>
      <c r="F1908" s="12"/>
      <c r="G1908" s="12"/>
      <c r="H1908" s="12"/>
    </row>
    <row r="1909" customFormat="false" ht="18" hidden="false" customHeight="true" outlineLevel="0" collapsed="false">
      <c r="A1909" s="10" t="s">
        <v>253</v>
      </c>
      <c r="B1909" s="10"/>
      <c r="C1909" s="13" t="str">
        <f aca="false">'01 ADMIN_ORDER'!I52&amp;" / "&amp;IF('04 KESIAPAN'!B52="","UOM BELUM DIISI",'04 KESIAPAN'!B52)</f>
        <v>419 / UOM BELUM DIISI</v>
      </c>
      <c r="D1909" s="13"/>
      <c r="E1909" s="13"/>
      <c r="F1909" s="13"/>
      <c r="G1909" s="13"/>
      <c r="H1909" s="13"/>
    </row>
    <row r="1910" customFormat="false" ht="18" hidden="false" customHeight="true" outlineLevel="0" collapsed="false">
      <c r="A1910" s="13" t="str">
        <f aca="false">IF('04 KESIAPAN'!C52="","SISTEM UKURAN BELUM DIISI",'04 KESIAPAN'!C52)&amp;" | Tanda -: "&amp;IF('04 KESIAPAN'!D52="","BELUM DIKONFIRMASI",'04 KESIAPAN'!D52)</f>
        <v>SISTEM UKURAN BELUM DIISI | Tanda -: BELUM DIKONFIRMASI</v>
      </c>
      <c r="B1910" s="13"/>
      <c r="C1910" s="13"/>
      <c r="D1910" s="13"/>
      <c r="E1910" s="13"/>
      <c r="F1910" s="13"/>
      <c r="G1910" s="13"/>
      <c r="H1910" s="13"/>
    </row>
    <row r="1911" customFormat="false" ht="18" hidden="false" customHeight="true" outlineLevel="0" collapsed="false">
      <c r="A1911" s="7" t="s">
        <v>254</v>
      </c>
      <c r="B1911" s="7"/>
      <c r="C1911" s="7"/>
      <c r="D1911" s="7"/>
      <c r="E1911" s="7"/>
      <c r="F1911" s="7"/>
      <c r="G1911" s="7"/>
      <c r="H1911" s="7"/>
    </row>
    <row r="1912" customFormat="false" ht="18" hidden="false" customHeight="true" outlineLevel="0" collapsed="false">
      <c r="A1912" s="14" t="s">
        <v>214</v>
      </c>
      <c r="B1912" s="0" t="n">
        <f aca="false">'02 SIZE_RUN'!D52</f>
        <v>1</v>
      </c>
      <c r="C1912" s="14" t="s">
        <v>215</v>
      </c>
      <c r="D1912" s="0" t="n">
        <f aca="false">'02 SIZE_RUN'!E52</f>
        <v>2</v>
      </c>
      <c r="E1912" s="14" t="s">
        <v>216</v>
      </c>
      <c r="F1912" s="0" t="n">
        <f aca="false">'02 SIZE_RUN'!F52</f>
        <v>1</v>
      </c>
      <c r="G1912" s="14" t="s">
        <v>217</v>
      </c>
      <c r="H1912" s="0" t="n">
        <f aca="false">'02 SIZE_RUN'!G52</f>
        <v>2</v>
      </c>
    </row>
    <row r="1913" customFormat="false" ht="18" hidden="false" customHeight="true" outlineLevel="0" collapsed="false">
      <c r="A1913" s="14" t="s">
        <v>218</v>
      </c>
      <c r="B1913" s="0" t="n">
        <f aca="false">'02 SIZE_RUN'!H52</f>
        <v>7</v>
      </c>
      <c r="C1913" s="14" t="s">
        <v>219</v>
      </c>
      <c r="D1913" s="0" t="n">
        <f aca="false">'02 SIZE_RUN'!I52</f>
        <v>1</v>
      </c>
      <c r="E1913" s="14" t="s">
        <v>220</v>
      </c>
      <c r="F1913" s="0" t="n">
        <f aca="false">'02 SIZE_RUN'!J52</f>
        <v>2</v>
      </c>
      <c r="G1913" s="14" t="s">
        <v>221</v>
      </c>
      <c r="H1913" s="0" t="n">
        <f aca="false">'02 SIZE_RUN'!K52</f>
        <v>29</v>
      </c>
    </row>
    <row r="1914" customFormat="false" ht="18" hidden="false" customHeight="true" outlineLevel="0" collapsed="false">
      <c r="A1914" s="14" t="s">
        <v>222</v>
      </c>
      <c r="B1914" s="0" t="n">
        <f aca="false">'02 SIZE_RUN'!L52</f>
        <v>14</v>
      </c>
      <c r="C1914" s="14" t="s">
        <v>223</v>
      </c>
      <c r="D1914" s="0" t="n">
        <f aca="false">'02 SIZE_RUN'!M52</f>
        <v>47</v>
      </c>
      <c r="E1914" s="14" t="s">
        <v>224</v>
      </c>
      <c r="F1914" s="0" t="n">
        <f aca="false">'02 SIZE_RUN'!N52</f>
        <v>61</v>
      </c>
      <c r="G1914" s="14" t="s">
        <v>225</v>
      </c>
      <c r="H1914" s="0" t="n">
        <f aca="false">'02 SIZE_RUN'!O52</f>
        <v>49</v>
      </c>
    </row>
    <row r="1915" customFormat="false" ht="18" hidden="false" customHeight="true" outlineLevel="0" collapsed="false">
      <c r="A1915" s="14" t="s">
        <v>226</v>
      </c>
      <c r="B1915" s="0" t="n">
        <f aca="false">'02 SIZE_RUN'!P52</f>
        <v>62</v>
      </c>
      <c r="C1915" s="14" t="s">
        <v>227</v>
      </c>
      <c r="D1915" s="0" t="n">
        <f aca="false">'02 SIZE_RUN'!Q52</f>
        <v>45</v>
      </c>
      <c r="E1915" s="14" t="s">
        <v>228</v>
      </c>
      <c r="F1915" s="0" t="n">
        <f aca="false">'02 SIZE_RUN'!R52</f>
        <v>23</v>
      </c>
      <c r="G1915" s="14" t="s">
        <v>229</v>
      </c>
      <c r="H1915" s="0" t="n">
        <f aca="false">'02 SIZE_RUN'!S52</f>
        <v>37</v>
      </c>
    </row>
    <row r="1916" customFormat="false" ht="18" hidden="false" customHeight="true" outlineLevel="0" collapsed="false">
      <c r="A1916" s="14" t="s">
        <v>230</v>
      </c>
      <c r="B1916" s="0" t="n">
        <f aca="false">'02 SIZE_RUN'!T52</f>
        <v>26</v>
      </c>
      <c r="C1916" s="14" t="s">
        <v>231</v>
      </c>
      <c r="D1916" s="0" t="n">
        <f aca="false">'02 SIZE_RUN'!U52</f>
        <v>1</v>
      </c>
      <c r="E1916" s="14" t="s">
        <v>232</v>
      </c>
      <c r="F1916" s="0" t="n">
        <f aca="false">'02 SIZE_RUN'!V52</f>
        <v>9</v>
      </c>
      <c r="G1916" s="14" t="s">
        <v>233</v>
      </c>
      <c r="H1916" s="0" t="n">
        <f aca="false">'02 SIZE_RUN'!W52</f>
        <v>0</v>
      </c>
    </row>
    <row r="1917" customFormat="false" ht="18" hidden="false" customHeight="true" outlineLevel="0" collapsed="false">
      <c r="A1917" s="14" t="s">
        <v>234</v>
      </c>
      <c r="B1917" s="0" t="n">
        <f aca="false">'02 SIZE_RUN'!X52</f>
        <v>0</v>
      </c>
      <c r="C1917" s="14" t="s">
        <v>235</v>
      </c>
      <c r="D1917" s="0" t="n">
        <f aca="false">'02 SIZE_RUN'!Y52</f>
        <v>0</v>
      </c>
      <c r="E1917" s="14" t="s">
        <v>236</v>
      </c>
      <c r="F1917" s="0" t="n">
        <f aca="false">'02 SIZE_RUN'!Z52</f>
        <v>0</v>
      </c>
      <c r="G1917" s="14" t="s">
        <v>237</v>
      </c>
      <c r="H1917" s="0" t="n">
        <f aca="false">'02 SIZE_RUN'!AA52</f>
        <v>0</v>
      </c>
    </row>
    <row r="1918" customFormat="false" ht="18" hidden="false" customHeight="true" outlineLevel="0" collapsed="false">
      <c r="A1918" s="14" t="s">
        <v>238</v>
      </c>
      <c r="B1918" s="0" t="n">
        <f aca="false">'02 SIZE_RUN'!AB52</f>
        <v>0</v>
      </c>
      <c r="C1918" s="14" t="s">
        <v>239</v>
      </c>
      <c r="D1918" s="0" t="n">
        <f aca="false">'02 SIZE_RUN'!AC52</f>
        <v>0</v>
      </c>
      <c r="E1918" s="14" t="s">
        <v>240</v>
      </c>
      <c r="F1918" s="0" t="n">
        <f aca="false">'02 SIZE_RUN'!AD52</f>
        <v>0</v>
      </c>
      <c r="G1918" s="14" t="s">
        <v>241</v>
      </c>
      <c r="H1918" s="0" t="n">
        <f aca="false">'02 SIZE_RUN'!AE52</f>
        <v>0</v>
      </c>
    </row>
    <row r="1919" customFormat="false" ht="18" hidden="false" customHeight="true" outlineLevel="0" collapsed="false">
      <c r="A1919" s="14" t="s">
        <v>242</v>
      </c>
      <c r="B1919" s="0" t="n">
        <f aca="false">'02 SIZE_RUN'!AF52</f>
        <v>0</v>
      </c>
    </row>
    <row r="1920" customFormat="false" ht="18" hidden="false" customHeight="true" outlineLevel="0" collapsed="false">
      <c r="A1920" s="10" t="str">
        <f aca="false">"TOTAL SIZE: "&amp;'02 SIZE_RUN'!AG52&amp;" | SELISIH: "&amp;'02 SIZE_RUN'!AH52</f>
        <v>TOTAL SIZE: 419 | SELISIH: 0</v>
      </c>
      <c r="B1920" s="10"/>
      <c r="C1920" s="10"/>
      <c r="D1920" s="10"/>
      <c r="E1920" s="10"/>
      <c r="F1920" s="10"/>
      <c r="G1920" s="10"/>
      <c r="H1920" s="10"/>
    </row>
    <row r="1921" customFormat="false" ht="18" hidden="false" customHeight="true" outlineLevel="0" collapsed="false">
      <c r="A1921" s="10" t="s">
        <v>255</v>
      </c>
      <c r="B1921" s="10"/>
      <c r="C1921" s="10"/>
      <c r="D1921" s="13" t="str">
        <f aca="false">IF('01 ADMIN_ORDER'!P52="","BELUM DITETAPKAN",TEXT('01 ADMIN_ORDER'!P52,"dd mmm yyyy"))</f>
        <v>BELUM DITETAPKAN</v>
      </c>
      <c r="E1921" s="13"/>
      <c r="F1921" s="13"/>
      <c r="G1921" s="13"/>
      <c r="H1921" s="13"/>
    </row>
    <row r="1922" customFormat="false" ht="18" hidden="false" customHeight="true" outlineLevel="0" collapsed="false">
      <c r="A1922" s="10" t="s">
        <v>256</v>
      </c>
      <c r="B1922" s="10"/>
      <c r="C1922" s="10"/>
      <c r="D1922" s="13" t="str">
        <f aca="false">IF('01 ADMIN_ORDER'!Q52="","BELUM DITETAPKAN",TEXT('01 ADMIN_ORDER'!Q52,"dd mmm yyyy"))</f>
        <v>BELUM DITETAPKAN</v>
      </c>
      <c r="E1922" s="13"/>
      <c r="F1922" s="13"/>
      <c r="G1922" s="13"/>
      <c r="H1922" s="13"/>
    </row>
    <row r="1923" customFormat="false" ht="25.5" hidden="false" customHeight="true" outlineLevel="0" collapsed="false">
      <c r="A1923" s="12" t="str">
        <f aca="false">"REFERENSI ASSEMBLY (bukan target upper): "&amp;TEXT('01 ADMIN_ORDER'!M52,"dd mmm yyyy")&amp;" - "&amp;TEXT('01 ADMIN_ORDER'!N52,"dd mmm yyyy")</f>
        <v>REFERENSI ASSEMBLY (bukan target upper): 14 Oct 2026 - 14 Oct 2026</v>
      </c>
      <c r="B1923" s="12"/>
      <c r="C1923" s="12"/>
      <c r="D1923" s="12"/>
      <c r="E1923" s="12"/>
      <c r="F1923" s="12"/>
      <c r="G1923" s="12"/>
      <c r="H1923" s="12"/>
    </row>
    <row r="1924" customFormat="false" ht="18" hidden="false" customHeight="true" outlineLevel="0" collapsed="false">
      <c r="A1924" s="10" t="s">
        <v>257</v>
      </c>
      <c r="B1924" s="10"/>
      <c r="C1924" s="10"/>
      <c r="D1924" s="13" t="str">
        <f aca="false">IF('04 KESIAPAN'!G52="","BELUM DIISI",'04 KESIAPAN'!G52)</f>
        <v>BELUM DIISI</v>
      </c>
      <c r="E1924" s="13"/>
      <c r="F1924" s="13"/>
      <c r="G1924" s="13"/>
      <c r="H1924" s="13"/>
    </row>
    <row r="1925" customFormat="false" ht="18" hidden="false" customHeight="true" outlineLevel="0" collapsed="false">
      <c r="A1925" s="10" t="s">
        <v>258</v>
      </c>
      <c r="B1925" s="10"/>
      <c r="C1925" s="10"/>
      <c r="D1925" s="13" t="str">
        <f aca="false">IF('04 KESIAPAN'!H52="","BELUM DIISI",'04 KESIAPAN'!H52)</f>
        <v>BELUM DIISI</v>
      </c>
      <c r="E1925" s="13"/>
      <c r="F1925" s="13"/>
      <c r="G1925" s="13"/>
      <c r="H1925" s="13"/>
    </row>
    <row r="1926" customFormat="false" ht="18" hidden="false" customHeight="true" outlineLevel="0" collapsed="false">
      <c r="A1926" s="10" t="s">
        <v>259</v>
      </c>
      <c r="B1926" s="10"/>
      <c r="C1926" s="10"/>
      <c r="D1926" s="13" t="str">
        <f aca="false">IF('04 KESIAPAN'!I52="","BELUM DIISI",'04 KESIAPAN'!I52)</f>
        <v>BELUM DIISI</v>
      </c>
      <c r="E1926" s="13"/>
      <c r="F1926" s="13"/>
      <c r="G1926" s="13"/>
      <c r="H1926" s="13"/>
    </row>
    <row r="1927" customFormat="false" ht="18" hidden="false" customHeight="true" outlineLevel="0" collapsed="false">
      <c r="A1927" s="10" t="s">
        <v>260</v>
      </c>
      <c r="B1927" s="10"/>
      <c r="C1927" s="10"/>
      <c r="D1927" s="13" t="str">
        <f aca="false">IF('04 KESIAPAN'!K52="","BELUM DIISI",'04 KESIAPAN'!K52)</f>
        <v>BELUM DIISI</v>
      </c>
      <c r="E1927" s="13"/>
      <c r="F1927" s="13"/>
      <c r="G1927" s="13"/>
      <c r="H1927" s="13"/>
    </row>
    <row r="1928" customFormat="false" ht="18" hidden="false" customHeight="true" outlineLevel="0" collapsed="false">
      <c r="A1928" s="10" t="s">
        <v>261</v>
      </c>
      <c r="B1928" s="10"/>
      <c r="C1928" s="10"/>
      <c r="D1928" s="13" t="str">
        <f aca="false">IF('04 KESIAPAN'!L52="","BELUM DIISI",'04 KESIAPAN'!L52)</f>
        <v>BELUM DIISI</v>
      </c>
      <c r="E1928" s="13"/>
      <c r="F1928" s="13"/>
      <c r="G1928" s="13"/>
      <c r="H1928" s="13"/>
    </row>
    <row r="1929" customFormat="false" ht="18" hidden="false" customHeight="true" outlineLevel="0" collapsed="false">
      <c r="A1929" s="10" t="s">
        <v>262</v>
      </c>
      <c r="B1929" s="10"/>
      <c r="C1929" s="10"/>
      <c r="D1929" s="13" t="str">
        <f aca="false">IF('04 KESIAPAN'!N52="","BELUM DIISI",'04 KESIAPAN'!N52)</f>
        <v>BELUM DIISI</v>
      </c>
      <c r="E1929" s="13"/>
      <c r="F1929" s="13"/>
      <c r="G1929" s="13"/>
      <c r="H1929" s="13"/>
    </row>
    <row r="1930" customFormat="false" ht="18" hidden="false" customHeight="true" outlineLevel="0" collapsed="false">
      <c r="A1930" s="10" t="s">
        <v>263</v>
      </c>
      <c r="B1930" s="10"/>
      <c r="C1930" s="10"/>
      <c r="D1930" s="13" t="str">
        <f aca="false">IF('04 KESIAPAN'!P52="","BELUM DIISI",'04 KESIAPAN'!P52)</f>
        <v>BELUM DIISI</v>
      </c>
      <c r="E1930" s="13"/>
      <c r="F1930" s="13"/>
      <c r="G1930" s="13"/>
      <c r="H1930" s="13"/>
    </row>
    <row r="1931" customFormat="false" ht="18" hidden="false" customHeight="true" outlineLevel="0" collapsed="false">
      <c r="A1931" s="7" t="s">
        <v>264</v>
      </c>
      <c r="B1931" s="7"/>
      <c r="C1931" s="7"/>
      <c r="D1931" s="7"/>
      <c r="E1931" s="7"/>
      <c r="F1931" s="7"/>
      <c r="G1931" s="7"/>
      <c r="H1931" s="7"/>
    </row>
    <row r="1932" customFormat="false" ht="18" hidden="false" customHeight="true" outlineLevel="0" collapsed="false">
      <c r="A1932" s="13"/>
      <c r="B1932" s="13"/>
      <c r="C1932" s="13"/>
      <c r="D1932" s="13"/>
      <c r="E1932" s="13"/>
      <c r="F1932" s="13"/>
      <c r="G1932" s="13"/>
      <c r="H1932" s="13"/>
    </row>
    <row r="1933" customFormat="false" ht="18" hidden="false" customHeight="true" outlineLevel="0" collapsed="false">
      <c r="A1933" s="13"/>
      <c r="B1933" s="13"/>
      <c r="C1933" s="13"/>
      <c r="D1933" s="13"/>
      <c r="E1933" s="13"/>
      <c r="F1933" s="13"/>
      <c r="G1933" s="13"/>
      <c r="H1933" s="13"/>
    </row>
    <row r="1934" customFormat="false" ht="18" hidden="false" customHeight="true" outlineLevel="0" collapsed="false">
      <c r="A1934" s="13"/>
      <c r="B1934" s="13"/>
      <c r="C1934" s="13"/>
      <c r="D1934" s="13"/>
      <c r="E1934" s="13"/>
      <c r="F1934" s="13"/>
      <c r="G1934" s="13"/>
      <c r="H1934" s="13"/>
    </row>
    <row r="1935" customFormat="false" ht="18" hidden="false" customHeight="true" outlineLevel="0" collapsed="false">
      <c r="A1935" s="12" t="s">
        <v>265</v>
      </c>
      <c r="B1935" s="12"/>
      <c r="C1935" s="12"/>
      <c r="D1935" s="12"/>
      <c r="E1935" s="12" t="s">
        <v>266</v>
      </c>
      <c r="F1935" s="12"/>
      <c r="G1935" s="12"/>
      <c r="H1935" s="12"/>
    </row>
    <row r="1936" customFormat="false" ht="18" hidden="false" customHeight="true" outlineLevel="0" collapsed="false">
      <c r="A1936" s="12" t="s">
        <v>317</v>
      </c>
      <c r="B1936" s="12"/>
      <c r="C1936" s="12"/>
      <c r="D1936" s="12"/>
      <c r="E1936" s="12"/>
      <c r="F1936" s="12"/>
      <c r="G1936" s="12"/>
      <c r="H1936" s="12"/>
    </row>
    <row r="1937" customFormat="false" ht="18" hidden="false" customHeight="true" outlineLevel="0" collapsed="false"/>
    <row r="1938" customFormat="false" ht="18" hidden="false" customHeight="true" outlineLevel="0" collapsed="false"/>
    <row r="1939" customFormat="false" ht="25.5" hidden="false" customHeight="true" outlineLevel="0" collapsed="false">
      <c r="A1939" s="7" t="s">
        <v>246</v>
      </c>
      <c r="B1939" s="7"/>
      <c r="C1939" s="7"/>
      <c r="D1939" s="7"/>
      <c r="E1939" s="7"/>
      <c r="F1939" s="7"/>
      <c r="G1939" s="7"/>
      <c r="H1939" s="7"/>
    </row>
    <row r="1940" customFormat="false" ht="18" hidden="false" customHeight="true" outlineLevel="0" collapsed="false">
      <c r="A1940" s="8" t="str">
        <f aca="false">'01 ADMIN_ORDER'!R53</f>
        <v>DRAFT - PERLU VERIFIKASI</v>
      </c>
      <c r="B1940" s="8"/>
      <c r="C1940" s="8"/>
      <c r="D1940" s="8"/>
      <c r="E1940" s="8"/>
      <c r="F1940" s="8"/>
      <c r="G1940" s="8"/>
      <c r="H1940" s="8"/>
    </row>
    <row r="1941" customFormat="false" ht="18" hidden="false" customHeight="true" outlineLevel="0" collapsed="false">
      <c r="A1941" s="9" t="s">
        <v>247</v>
      </c>
      <c r="B1941" s="9"/>
      <c r="C1941" s="9"/>
      <c r="D1941" s="9"/>
      <c r="E1941" s="9"/>
      <c r="F1941" s="9"/>
      <c r="G1941" s="9"/>
      <c r="H1941" s="9"/>
    </row>
    <row r="1942" customFormat="false" ht="18" hidden="false" customHeight="true" outlineLevel="0" collapsed="false">
      <c r="A1942" s="10" t="s">
        <v>248</v>
      </c>
      <c r="B1942" s="10"/>
      <c r="C1942" s="11" t="str">
        <f aca="false">'01 ADMIN_ORDER'!A53</f>
        <v>188/10/52 (59)</v>
      </c>
      <c r="D1942" s="11"/>
      <c r="E1942" s="11"/>
      <c r="F1942" s="11"/>
      <c r="G1942" s="11"/>
      <c r="H1942" s="11"/>
    </row>
    <row r="1943" customFormat="false" ht="18" hidden="false" customHeight="true" outlineLevel="0" collapsed="false">
      <c r="A1943" s="10" t="s">
        <v>249</v>
      </c>
      <c r="B1943" s="10"/>
      <c r="C1943" s="12" t="str">
        <f aca="false">'01 ADMIN_ORDER'!C53&amp;" / "&amp;'01 ADMIN_ORDER'!D53</f>
        <v>FRONTCOURT LOW / LA6615</v>
      </c>
      <c r="D1943" s="12"/>
      <c r="E1943" s="12"/>
      <c r="F1943" s="12"/>
      <c r="G1943" s="12"/>
      <c r="H1943" s="12"/>
    </row>
    <row r="1944" customFormat="false" ht="18" hidden="false" customHeight="true" outlineLevel="0" collapsed="false">
      <c r="A1944" s="10" t="s">
        <v>250</v>
      </c>
      <c r="B1944" s="10"/>
      <c r="C1944" s="12" t="str">
        <f aca="false">'01 ADMIN_ORDER'!E53</f>
        <v>903145060</v>
      </c>
      <c r="D1944" s="12"/>
      <c r="E1944" s="12"/>
      <c r="F1944" s="12"/>
      <c r="G1944" s="12"/>
      <c r="H1944" s="12"/>
    </row>
    <row r="1945" customFormat="false" ht="27.75" hidden="false" customHeight="true" outlineLevel="0" collapsed="false">
      <c r="A1945" s="10" t="s">
        <v>251</v>
      </c>
      <c r="B1945" s="10"/>
      <c r="C1945" s="12" t="str">
        <f aca="false">'01 ADMIN_ORDER'!H53</f>
        <v>FTWR WHITE/CORE BLACK/GREY ONE</v>
      </c>
      <c r="D1945" s="12"/>
      <c r="E1945" s="12"/>
      <c r="F1945" s="12"/>
      <c r="G1945" s="12"/>
      <c r="H1945" s="12"/>
    </row>
    <row r="1946" customFormat="false" ht="18" hidden="false" customHeight="true" outlineLevel="0" collapsed="false">
      <c r="A1946" s="10" t="s">
        <v>252</v>
      </c>
      <c r="B1946" s="10"/>
      <c r="C1946" s="12" t="str">
        <f aca="false">'01 ADMIN_ORDER'!B53&amp;" / "&amp;'01 ADMIN_ORDER'!G53</f>
        <v>B-19 / Israel</v>
      </c>
      <c r="D1946" s="12"/>
      <c r="E1946" s="12"/>
      <c r="F1946" s="12"/>
      <c r="G1946" s="12"/>
      <c r="H1946" s="12"/>
    </row>
    <row r="1947" customFormat="false" ht="18" hidden="false" customHeight="true" outlineLevel="0" collapsed="false">
      <c r="A1947" s="10" t="s">
        <v>253</v>
      </c>
      <c r="B1947" s="10"/>
      <c r="C1947" s="13" t="str">
        <f aca="false">'01 ADMIN_ORDER'!I53&amp;" / "&amp;IF('04 KESIAPAN'!B53="","UOM BELUM DIISI",'04 KESIAPAN'!B53)</f>
        <v>190 / UOM BELUM DIISI</v>
      </c>
      <c r="D1947" s="13"/>
      <c r="E1947" s="13"/>
      <c r="F1947" s="13"/>
      <c r="G1947" s="13"/>
      <c r="H1947" s="13"/>
    </row>
    <row r="1948" customFormat="false" ht="18" hidden="false" customHeight="true" outlineLevel="0" collapsed="false">
      <c r="A1948" s="13" t="str">
        <f aca="false">IF('04 KESIAPAN'!C53="","SISTEM UKURAN BELUM DIISI",'04 KESIAPAN'!C53)&amp;" | Tanda -: "&amp;IF('04 KESIAPAN'!D53="","BELUM DIKONFIRMASI",'04 KESIAPAN'!D53)</f>
        <v>SISTEM UKURAN BELUM DIISI | Tanda -: BELUM DIKONFIRMASI</v>
      </c>
      <c r="B1948" s="13"/>
      <c r="C1948" s="13"/>
      <c r="D1948" s="13"/>
      <c r="E1948" s="13"/>
      <c r="F1948" s="13"/>
      <c r="G1948" s="13"/>
      <c r="H1948" s="13"/>
    </row>
    <row r="1949" customFormat="false" ht="18" hidden="false" customHeight="true" outlineLevel="0" collapsed="false">
      <c r="A1949" s="7" t="s">
        <v>254</v>
      </c>
      <c r="B1949" s="7"/>
      <c r="C1949" s="7"/>
      <c r="D1949" s="7"/>
      <c r="E1949" s="7"/>
      <c r="F1949" s="7"/>
      <c r="G1949" s="7"/>
      <c r="H1949" s="7"/>
    </row>
    <row r="1950" customFormat="false" ht="18" hidden="false" customHeight="true" outlineLevel="0" collapsed="false">
      <c r="A1950" s="14" t="s">
        <v>214</v>
      </c>
      <c r="B1950" s="0" t="n">
        <f aca="false">'02 SIZE_RUN'!D53</f>
        <v>0</v>
      </c>
      <c r="C1950" s="14" t="s">
        <v>215</v>
      </c>
      <c r="D1950" s="0" t="n">
        <f aca="false">'02 SIZE_RUN'!E53</f>
        <v>0</v>
      </c>
      <c r="E1950" s="14" t="s">
        <v>216</v>
      </c>
      <c r="F1950" s="0" t="n">
        <f aca="false">'02 SIZE_RUN'!F53</f>
        <v>0</v>
      </c>
      <c r="G1950" s="14" t="s">
        <v>217</v>
      </c>
      <c r="H1950" s="0" t="n">
        <f aca="false">'02 SIZE_RUN'!G53</f>
        <v>0</v>
      </c>
    </row>
    <row r="1951" customFormat="false" ht="18" hidden="false" customHeight="true" outlineLevel="0" collapsed="false">
      <c r="A1951" s="14" t="s">
        <v>218</v>
      </c>
      <c r="B1951" s="0" t="n">
        <f aca="false">'02 SIZE_RUN'!H53</f>
        <v>0</v>
      </c>
      <c r="C1951" s="14" t="s">
        <v>219</v>
      </c>
      <c r="D1951" s="0" t="n">
        <f aca="false">'02 SIZE_RUN'!I53</f>
        <v>0</v>
      </c>
      <c r="E1951" s="14" t="s">
        <v>220</v>
      </c>
      <c r="F1951" s="0" t="n">
        <f aca="false">'02 SIZE_RUN'!J53</f>
        <v>20</v>
      </c>
      <c r="G1951" s="14" t="s">
        <v>221</v>
      </c>
      <c r="H1951" s="0" t="n">
        <f aca="false">'02 SIZE_RUN'!K53</f>
        <v>40</v>
      </c>
    </row>
    <row r="1952" customFormat="false" ht="18" hidden="false" customHeight="true" outlineLevel="0" collapsed="false">
      <c r="A1952" s="14" t="s">
        <v>222</v>
      </c>
      <c r="B1952" s="0" t="n">
        <f aca="false">'02 SIZE_RUN'!L53</f>
        <v>0</v>
      </c>
      <c r="C1952" s="14" t="s">
        <v>223</v>
      </c>
      <c r="D1952" s="0" t="n">
        <f aca="false">'02 SIZE_RUN'!M53</f>
        <v>40</v>
      </c>
      <c r="E1952" s="14" t="s">
        <v>224</v>
      </c>
      <c r="F1952" s="0" t="n">
        <f aca="false">'02 SIZE_RUN'!N53</f>
        <v>40</v>
      </c>
      <c r="G1952" s="14" t="s">
        <v>225</v>
      </c>
      <c r="H1952" s="0" t="n">
        <f aca="false">'02 SIZE_RUN'!O53</f>
        <v>0</v>
      </c>
    </row>
    <row r="1953" customFormat="false" ht="18" hidden="false" customHeight="true" outlineLevel="0" collapsed="false">
      <c r="A1953" s="14" t="s">
        <v>226</v>
      </c>
      <c r="B1953" s="0" t="n">
        <f aca="false">'02 SIZE_RUN'!P53</f>
        <v>30</v>
      </c>
      <c r="C1953" s="14" t="s">
        <v>227</v>
      </c>
      <c r="D1953" s="0" t="n">
        <f aca="false">'02 SIZE_RUN'!Q53</f>
        <v>20</v>
      </c>
      <c r="E1953" s="14" t="s">
        <v>228</v>
      </c>
      <c r="F1953" s="0" t="n">
        <f aca="false">'02 SIZE_RUN'!R53</f>
        <v>0</v>
      </c>
      <c r="G1953" s="14" t="s">
        <v>229</v>
      </c>
      <c r="H1953" s="0" t="n">
        <f aca="false">'02 SIZE_RUN'!S53</f>
        <v>0</v>
      </c>
    </row>
    <row r="1954" customFormat="false" ht="18" hidden="false" customHeight="true" outlineLevel="0" collapsed="false">
      <c r="A1954" s="14" t="s">
        <v>230</v>
      </c>
      <c r="B1954" s="0" t="n">
        <f aca="false">'02 SIZE_RUN'!T53</f>
        <v>0</v>
      </c>
      <c r="C1954" s="14" t="s">
        <v>231</v>
      </c>
      <c r="D1954" s="0" t="n">
        <f aca="false">'02 SIZE_RUN'!U53</f>
        <v>0</v>
      </c>
      <c r="E1954" s="14" t="s">
        <v>232</v>
      </c>
      <c r="F1954" s="0" t="n">
        <f aca="false">'02 SIZE_RUN'!V53</f>
        <v>0</v>
      </c>
      <c r="G1954" s="14" t="s">
        <v>233</v>
      </c>
      <c r="H1954" s="0" t="n">
        <f aca="false">'02 SIZE_RUN'!W53</f>
        <v>0</v>
      </c>
    </row>
    <row r="1955" customFormat="false" ht="18" hidden="false" customHeight="true" outlineLevel="0" collapsed="false">
      <c r="A1955" s="14" t="s">
        <v>234</v>
      </c>
      <c r="B1955" s="0" t="n">
        <f aca="false">'02 SIZE_RUN'!X53</f>
        <v>0</v>
      </c>
      <c r="C1955" s="14" t="s">
        <v>235</v>
      </c>
      <c r="D1955" s="0" t="n">
        <f aca="false">'02 SIZE_RUN'!Y53</f>
        <v>0</v>
      </c>
      <c r="E1955" s="14" t="s">
        <v>236</v>
      </c>
      <c r="F1955" s="0" t="n">
        <f aca="false">'02 SIZE_RUN'!Z53</f>
        <v>0</v>
      </c>
      <c r="G1955" s="14" t="s">
        <v>237</v>
      </c>
      <c r="H1955" s="0" t="n">
        <f aca="false">'02 SIZE_RUN'!AA53</f>
        <v>0</v>
      </c>
    </row>
    <row r="1956" customFormat="false" ht="18" hidden="false" customHeight="true" outlineLevel="0" collapsed="false">
      <c r="A1956" s="14" t="s">
        <v>238</v>
      </c>
      <c r="B1956" s="0" t="n">
        <f aca="false">'02 SIZE_RUN'!AB53</f>
        <v>0</v>
      </c>
      <c r="C1956" s="14" t="s">
        <v>239</v>
      </c>
      <c r="D1956" s="0" t="n">
        <f aca="false">'02 SIZE_RUN'!AC53</f>
        <v>0</v>
      </c>
      <c r="E1956" s="14" t="s">
        <v>240</v>
      </c>
      <c r="F1956" s="0" t="n">
        <f aca="false">'02 SIZE_RUN'!AD53</f>
        <v>0</v>
      </c>
      <c r="G1956" s="14" t="s">
        <v>241</v>
      </c>
      <c r="H1956" s="0" t="n">
        <f aca="false">'02 SIZE_RUN'!AE53</f>
        <v>0</v>
      </c>
    </row>
    <row r="1957" customFormat="false" ht="18" hidden="false" customHeight="true" outlineLevel="0" collapsed="false">
      <c r="A1957" s="14" t="s">
        <v>242</v>
      </c>
      <c r="B1957" s="0" t="n">
        <f aca="false">'02 SIZE_RUN'!AF53</f>
        <v>0</v>
      </c>
    </row>
    <row r="1958" customFormat="false" ht="18" hidden="false" customHeight="true" outlineLevel="0" collapsed="false">
      <c r="A1958" s="10" t="str">
        <f aca="false">"TOTAL SIZE: "&amp;'02 SIZE_RUN'!AG53&amp;" | SELISIH: "&amp;'02 SIZE_RUN'!AH53</f>
        <v>TOTAL SIZE: 190 | SELISIH: 0</v>
      </c>
      <c r="B1958" s="10"/>
      <c r="C1958" s="10"/>
      <c r="D1958" s="10"/>
      <c r="E1958" s="10"/>
      <c r="F1958" s="10"/>
      <c r="G1958" s="10"/>
      <c r="H1958" s="10"/>
    </row>
    <row r="1959" customFormat="false" ht="18" hidden="false" customHeight="true" outlineLevel="0" collapsed="false">
      <c r="A1959" s="10" t="s">
        <v>255</v>
      </c>
      <c r="B1959" s="10"/>
      <c r="C1959" s="10"/>
      <c r="D1959" s="13" t="str">
        <f aca="false">IF('01 ADMIN_ORDER'!P53="","BELUM DITETAPKAN",TEXT('01 ADMIN_ORDER'!P53,"dd mmm yyyy"))</f>
        <v>BELUM DITETAPKAN</v>
      </c>
      <c r="E1959" s="13"/>
      <c r="F1959" s="13"/>
      <c r="G1959" s="13"/>
      <c r="H1959" s="13"/>
    </row>
    <row r="1960" customFormat="false" ht="18" hidden="false" customHeight="true" outlineLevel="0" collapsed="false">
      <c r="A1960" s="10" t="s">
        <v>256</v>
      </c>
      <c r="B1960" s="10"/>
      <c r="C1960" s="10"/>
      <c r="D1960" s="13" t="str">
        <f aca="false">IF('01 ADMIN_ORDER'!Q53="","BELUM DITETAPKAN",TEXT('01 ADMIN_ORDER'!Q53,"dd mmm yyyy"))</f>
        <v>BELUM DITETAPKAN</v>
      </c>
      <c r="E1960" s="13"/>
      <c r="F1960" s="13"/>
      <c r="G1960" s="13"/>
      <c r="H1960" s="13"/>
    </row>
    <row r="1961" customFormat="false" ht="25.5" hidden="false" customHeight="true" outlineLevel="0" collapsed="false">
      <c r="A1961" s="12" t="str">
        <f aca="false">"REFERENSI ASSEMBLY (bukan target upper): "&amp;TEXT('01 ADMIN_ORDER'!M53,"dd mmm yyyy")&amp;" - "&amp;TEXT('01 ADMIN_ORDER'!N53,"dd mmm yyyy")</f>
        <v>REFERENSI ASSEMBLY (bukan target upper): 14 Oct 2026 - 14 Oct 2026</v>
      </c>
      <c r="B1961" s="12"/>
      <c r="C1961" s="12"/>
      <c r="D1961" s="12"/>
      <c r="E1961" s="12"/>
      <c r="F1961" s="12"/>
      <c r="G1961" s="12"/>
      <c r="H1961" s="12"/>
    </row>
    <row r="1962" customFormat="false" ht="18" hidden="false" customHeight="true" outlineLevel="0" collapsed="false">
      <c r="A1962" s="10" t="s">
        <v>257</v>
      </c>
      <c r="B1962" s="10"/>
      <c r="C1962" s="10"/>
      <c r="D1962" s="13" t="str">
        <f aca="false">IF('04 KESIAPAN'!G53="","BELUM DIISI",'04 KESIAPAN'!G53)</f>
        <v>BELUM DIISI</v>
      </c>
      <c r="E1962" s="13"/>
      <c r="F1962" s="13"/>
      <c r="G1962" s="13"/>
      <c r="H1962" s="13"/>
    </row>
    <row r="1963" customFormat="false" ht="18" hidden="false" customHeight="true" outlineLevel="0" collapsed="false">
      <c r="A1963" s="10" t="s">
        <v>258</v>
      </c>
      <c r="B1963" s="10"/>
      <c r="C1963" s="10"/>
      <c r="D1963" s="13" t="str">
        <f aca="false">IF('04 KESIAPAN'!H53="","BELUM DIISI",'04 KESIAPAN'!H53)</f>
        <v>BELUM DIISI</v>
      </c>
      <c r="E1963" s="13"/>
      <c r="F1963" s="13"/>
      <c r="G1963" s="13"/>
      <c r="H1963" s="13"/>
    </row>
    <row r="1964" customFormat="false" ht="18" hidden="false" customHeight="true" outlineLevel="0" collapsed="false">
      <c r="A1964" s="10" t="s">
        <v>259</v>
      </c>
      <c r="B1964" s="10"/>
      <c r="C1964" s="10"/>
      <c r="D1964" s="13" t="str">
        <f aca="false">IF('04 KESIAPAN'!I53="","BELUM DIISI",'04 KESIAPAN'!I53)</f>
        <v>BELUM DIISI</v>
      </c>
      <c r="E1964" s="13"/>
      <c r="F1964" s="13"/>
      <c r="G1964" s="13"/>
      <c r="H1964" s="13"/>
    </row>
    <row r="1965" customFormat="false" ht="18" hidden="false" customHeight="true" outlineLevel="0" collapsed="false">
      <c r="A1965" s="10" t="s">
        <v>260</v>
      </c>
      <c r="B1965" s="10"/>
      <c r="C1965" s="10"/>
      <c r="D1965" s="13" t="str">
        <f aca="false">IF('04 KESIAPAN'!K53="","BELUM DIISI",'04 KESIAPAN'!K53)</f>
        <v>BELUM DIISI</v>
      </c>
      <c r="E1965" s="13"/>
      <c r="F1965" s="13"/>
      <c r="G1965" s="13"/>
      <c r="H1965" s="13"/>
    </row>
    <row r="1966" customFormat="false" ht="18" hidden="false" customHeight="true" outlineLevel="0" collapsed="false">
      <c r="A1966" s="10" t="s">
        <v>261</v>
      </c>
      <c r="B1966" s="10"/>
      <c r="C1966" s="10"/>
      <c r="D1966" s="13" t="str">
        <f aca="false">IF('04 KESIAPAN'!L53="","BELUM DIISI",'04 KESIAPAN'!L53)</f>
        <v>BELUM DIISI</v>
      </c>
      <c r="E1966" s="13"/>
      <c r="F1966" s="13"/>
      <c r="G1966" s="13"/>
      <c r="H1966" s="13"/>
    </row>
    <row r="1967" customFormat="false" ht="18" hidden="false" customHeight="true" outlineLevel="0" collapsed="false">
      <c r="A1967" s="10" t="s">
        <v>262</v>
      </c>
      <c r="B1967" s="10"/>
      <c r="C1967" s="10"/>
      <c r="D1967" s="13" t="str">
        <f aca="false">IF('04 KESIAPAN'!N53="","BELUM DIISI",'04 KESIAPAN'!N53)</f>
        <v>BELUM DIISI</v>
      </c>
      <c r="E1967" s="13"/>
      <c r="F1967" s="13"/>
      <c r="G1967" s="13"/>
      <c r="H1967" s="13"/>
    </row>
    <row r="1968" customFormat="false" ht="18" hidden="false" customHeight="true" outlineLevel="0" collapsed="false">
      <c r="A1968" s="10" t="s">
        <v>263</v>
      </c>
      <c r="B1968" s="10"/>
      <c r="C1968" s="10"/>
      <c r="D1968" s="13" t="str">
        <f aca="false">IF('04 KESIAPAN'!P53="","BELUM DIISI",'04 KESIAPAN'!P53)</f>
        <v>BELUM DIISI</v>
      </c>
      <c r="E1968" s="13"/>
      <c r="F1968" s="13"/>
      <c r="G1968" s="13"/>
      <c r="H1968" s="13"/>
    </row>
    <row r="1969" customFormat="false" ht="18" hidden="false" customHeight="true" outlineLevel="0" collapsed="false">
      <c r="A1969" s="7" t="s">
        <v>264</v>
      </c>
      <c r="B1969" s="7"/>
      <c r="C1969" s="7"/>
      <c r="D1969" s="7"/>
      <c r="E1969" s="7"/>
      <c r="F1969" s="7"/>
      <c r="G1969" s="7"/>
      <c r="H1969" s="7"/>
    </row>
    <row r="1970" customFormat="false" ht="18" hidden="false" customHeight="true" outlineLevel="0" collapsed="false">
      <c r="A1970" s="13"/>
      <c r="B1970" s="13"/>
      <c r="C1970" s="13"/>
      <c r="D1970" s="13"/>
      <c r="E1970" s="13"/>
      <c r="F1970" s="13"/>
      <c r="G1970" s="13"/>
      <c r="H1970" s="13"/>
    </row>
    <row r="1971" customFormat="false" ht="18" hidden="false" customHeight="true" outlineLevel="0" collapsed="false">
      <c r="A1971" s="13"/>
      <c r="B1971" s="13"/>
      <c r="C1971" s="13"/>
      <c r="D1971" s="13"/>
      <c r="E1971" s="13"/>
      <c r="F1971" s="13"/>
      <c r="G1971" s="13"/>
      <c r="H1971" s="13"/>
    </row>
    <row r="1972" customFormat="false" ht="18" hidden="false" customHeight="true" outlineLevel="0" collapsed="false">
      <c r="A1972" s="13"/>
      <c r="B1972" s="13"/>
      <c r="C1972" s="13"/>
      <c r="D1972" s="13"/>
      <c r="E1972" s="13"/>
      <c r="F1972" s="13"/>
      <c r="G1972" s="13"/>
      <c r="H1972" s="13"/>
    </row>
    <row r="1973" customFormat="false" ht="18" hidden="false" customHeight="true" outlineLevel="0" collapsed="false">
      <c r="A1973" s="12" t="s">
        <v>265</v>
      </c>
      <c r="B1973" s="12"/>
      <c r="C1973" s="12"/>
      <c r="D1973" s="12"/>
      <c r="E1973" s="12" t="s">
        <v>266</v>
      </c>
      <c r="F1973" s="12"/>
      <c r="G1973" s="12"/>
      <c r="H1973" s="12"/>
    </row>
    <row r="1974" customFormat="false" ht="18" hidden="false" customHeight="true" outlineLevel="0" collapsed="false">
      <c r="A1974" s="12" t="s">
        <v>318</v>
      </c>
      <c r="B1974" s="12"/>
      <c r="C1974" s="12"/>
      <c r="D1974" s="12"/>
      <c r="E1974" s="12"/>
      <c r="F1974" s="12"/>
      <c r="G1974" s="12"/>
      <c r="H1974" s="12"/>
    </row>
    <row r="1975" customFormat="false" ht="18" hidden="false" customHeight="true" outlineLevel="0" collapsed="false"/>
    <row r="1976" customFormat="false" ht="18" hidden="false" customHeight="true" outlineLevel="0" collapsed="false"/>
    <row r="1977" customFormat="false" ht="25.5" hidden="false" customHeight="true" outlineLevel="0" collapsed="false">
      <c r="A1977" s="7" t="s">
        <v>246</v>
      </c>
      <c r="B1977" s="7"/>
      <c r="C1977" s="7"/>
      <c r="D1977" s="7"/>
      <c r="E1977" s="7"/>
      <c r="F1977" s="7"/>
      <c r="G1977" s="7"/>
      <c r="H1977" s="7"/>
    </row>
    <row r="1978" customFormat="false" ht="18" hidden="false" customHeight="true" outlineLevel="0" collapsed="false">
      <c r="A1978" s="8" t="str">
        <f aca="false">'01 ADMIN_ORDER'!R54</f>
        <v>DRAFT - PERLU VERIFIKASI</v>
      </c>
      <c r="B1978" s="8"/>
      <c r="C1978" s="8"/>
      <c r="D1978" s="8"/>
      <c r="E1978" s="8"/>
      <c r="F1978" s="8"/>
      <c r="G1978" s="8"/>
      <c r="H1978" s="8"/>
    </row>
    <row r="1979" customFormat="false" ht="18" hidden="false" customHeight="true" outlineLevel="0" collapsed="false">
      <c r="A1979" s="9" t="s">
        <v>247</v>
      </c>
      <c r="B1979" s="9"/>
      <c r="C1979" s="9"/>
      <c r="D1979" s="9"/>
      <c r="E1979" s="9"/>
      <c r="F1979" s="9"/>
      <c r="G1979" s="9"/>
      <c r="H1979" s="9"/>
    </row>
    <row r="1980" customFormat="false" ht="18" hidden="false" customHeight="true" outlineLevel="0" collapsed="false">
      <c r="A1980" s="10" t="s">
        <v>248</v>
      </c>
      <c r="B1980" s="10"/>
      <c r="C1980" s="11" t="str">
        <f aca="false">'01 ADMIN_ORDER'!A54</f>
        <v>189/10/53 (59)</v>
      </c>
      <c r="D1980" s="11"/>
      <c r="E1980" s="11"/>
      <c r="F1980" s="11"/>
      <c r="G1980" s="11"/>
      <c r="H1980" s="11"/>
    </row>
    <row r="1981" customFormat="false" ht="18" hidden="false" customHeight="true" outlineLevel="0" collapsed="false">
      <c r="A1981" s="10" t="s">
        <v>249</v>
      </c>
      <c r="B1981" s="10"/>
      <c r="C1981" s="12" t="str">
        <f aca="false">'01 ADMIN_ORDER'!C54&amp;" / "&amp;'01 ADMIN_ORDER'!D54</f>
        <v>FRONTCOURT LOW / LA6615</v>
      </c>
      <c r="D1981" s="12"/>
      <c r="E1981" s="12"/>
      <c r="F1981" s="12"/>
      <c r="G1981" s="12"/>
      <c r="H1981" s="12"/>
    </row>
    <row r="1982" customFormat="false" ht="18" hidden="false" customHeight="true" outlineLevel="0" collapsed="false">
      <c r="A1982" s="10" t="s">
        <v>250</v>
      </c>
      <c r="B1982" s="10"/>
      <c r="C1982" s="12" t="str">
        <f aca="false">'01 ADMIN_ORDER'!E54</f>
        <v>903288515</v>
      </c>
      <c r="D1982" s="12"/>
      <c r="E1982" s="12"/>
      <c r="F1982" s="12"/>
      <c r="G1982" s="12"/>
      <c r="H1982" s="12"/>
    </row>
    <row r="1983" customFormat="false" ht="27.75" hidden="false" customHeight="true" outlineLevel="0" collapsed="false">
      <c r="A1983" s="10" t="s">
        <v>251</v>
      </c>
      <c r="B1983" s="10"/>
      <c r="C1983" s="12" t="str">
        <f aca="false">'01 ADMIN_ORDER'!H54</f>
        <v>FTWR WHITE/CORE BLACK/GREY ONE</v>
      </c>
      <c r="D1983" s="12"/>
      <c r="E1983" s="12"/>
      <c r="F1983" s="12"/>
      <c r="G1983" s="12"/>
      <c r="H1983" s="12"/>
    </row>
    <row r="1984" customFormat="false" ht="18" hidden="false" customHeight="true" outlineLevel="0" collapsed="false">
      <c r="A1984" s="10" t="s">
        <v>252</v>
      </c>
      <c r="B1984" s="10"/>
      <c r="C1984" s="12" t="str">
        <f aca="false">'01 ADMIN_ORDER'!B54&amp;" / "&amp;'01 ADMIN_ORDER'!G54</f>
        <v>B-19 / Turkey</v>
      </c>
      <c r="D1984" s="12"/>
      <c r="E1984" s="12"/>
      <c r="F1984" s="12"/>
      <c r="G1984" s="12"/>
      <c r="H1984" s="12"/>
    </row>
    <row r="1985" customFormat="false" ht="18" hidden="false" customHeight="true" outlineLevel="0" collapsed="false">
      <c r="A1985" s="10" t="s">
        <v>253</v>
      </c>
      <c r="B1985" s="10"/>
      <c r="C1985" s="13" t="str">
        <f aca="false">'01 ADMIN_ORDER'!I54&amp;" / "&amp;IF('04 KESIAPAN'!B54="","UOM BELUM DIISI",'04 KESIAPAN'!B54)</f>
        <v>690 / UOM BELUM DIISI</v>
      </c>
      <c r="D1985" s="13"/>
      <c r="E1985" s="13"/>
      <c r="F1985" s="13"/>
      <c r="G1985" s="13"/>
      <c r="H1985" s="13"/>
    </row>
    <row r="1986" customFormat="false" ht="18" hidden="false" customHeight="true" outlineLevel="0" collapsed="false">
      <c r="A1986" s="13" t="str">
        <f aca="false">IF('04 KESIAPAN'!C54="","SISTEM UKURAN BELUM DIISI",'04 KESIAPAN'!C54)&amp;" | Tanda -: "&amp;IF('04 KESIAPAN'!D54="","BELUM DIKONFIRMASI",'04 KESIAPAN'!D54)</f>
        <v>SISTEM UKURAN BELUM DIISI | Tanda -: BELUM DIKONFIRMASI</v>
      </c>
      <c r="B1986" s="13"/>
      <c r="C1986" s="13"/>
      <c r="D1986" s="13"/>
      <c r="E1986" s="13"/>
      <c r="F1986" s="13"/>
      <c r="G1986" s="13"/>
      <c r="H1986" s="13"/>
    </row>
    <row r="1987" customFormat="false" ht="18" hidden="false" customHeight="true" outlineLevel="0" collapsed="false">
      <c r="A1987" s="7" t="s">
        <v>254</v>
      </c>
      <c r="B1987" s="7"/>
      <c r="C1987" s="7"/>
      <c r="D1987" s="7"/>
      <c r="E1987" s="7"/>
      <c r="F1987" s="7"/>
      <c r="G1987" s="7"/>
      <c r="H1987" s="7"/>
    </row>
    <row r="1988" customFormat="false" ht="18" hidden="false" customHeight="true" outlineLevel="0" collapsed="false">
      <c r="A1988" s="14" t="s">
        <v>214</v>
      </c>
      <c r="B1988" s="0" t="n">
        <f aca="false">'02 SIZE_RUN'!D54</f>
        <v>0</v>
      </c>
      <c r="C1988" s="14" t="s">
        <v>215</v>
      </c>
      <c r="D1988" s="0" t="n">
        <f aca="false">'02 SIZE_RUN'!E54</f>
        <v>0</v>
      </c>
      <c r="E1988" s="14" t="s">
        <v>216</v>
      </c>
      <c r="F1988" s="0" t="n">
        <f aca="false">'02 SIZE_RUN'!F54</f>
        <v>0</v>
      </c>
      <c r="G1988" s="14" t="s">
        <v>217</v>
      </c>
      <c r="H1988" s="0" t="n">
        <f aca="false">'02 SIZE_RUN'!G54</f>
        <v>0</v>
      </c>
    </row>
    <row r="1989" customFormat="false" ht="18" hidden="false" customHeight="true" outlineLevel="0" collapsed="false">
      <c r="A1989" s="14" t="s">
        <v>218</v>
      </c>
      <c r="B1989" s="0" t="n">
        <f aca="false">'02 SIZE_RUN'!H54</f>
        <v>0</v>
      </c>
      <c r="C1989" s="14" t="s">
        <v>219</v>
      </c>
      <c r="D1989" s="0" t="n">
        <f aca="false">'02 SIZE_RUN'!I54</f>
        <v>0</v>
      </c>
      <c r="E1989" s="14" t="s">
        <v>220</v>
      </c>
      <c r="F1989" s="0" t="n">
        <f aca="false">'02 SIZE_RUN'!J54</f>
        <v>23</v>
      </c>
      <c r="G1989" s="14" t="s">
        <v>221</v>
      </c>
      <c r="H1989" s="0" t="n">
        <f aca="false">'02 SIZE_RUN'!K54</f>
        <v>82</v>
      </c>
    </row>
    <row r="1990" customFormat="false" ht="18" hidden="false" customHeight="true" outlineLevel="0" collapsed="false">
      <c r="A1990" s="14" t="s">
        <v>222</v>
      </c>
      <c r="B1990" s="0" t="n">
        <f aca="false">'02 SIZE_RUN'!L54</f>
        <v>26</v>
      </c>
      <c r="C1990" s="14" t="s">
        <v>223</v>
      </c>
      <c r="D1990" s="0" t="n">
        <f aca="false">'02 SIZE_RUN'!M54</f>
        <v>101</v>
      </c>
      <c r="E1990" s="14" t="s">
        <v>224</v>
      </c>
      <c r="F1990" s="0" t="n">
        <f aca="false">'02 SIZE_RUN'!N54</f>
        <v>191</v>
      </c>
      <c r="G1990" s="14" t="s">
        <v>225</v>
      </c>
      <c r="H1990" s="0" t="n">
        <f aca="false">'02 SIZE_RUN'!O54</f>
        <v>73</v>
      </c>
    </row>
    <row r="1991" customFormat="false" ht="18" hidden="false" customHeight="true" outlineLevel="0" collapsed="false">
      <c r="A1991" s="14" t="s">
        <v>226</v>
      </c>
      <c r="B1991" s="0" t="n">
        <f aca="false">'02 SIZE_RUN'!P54</f>
        <v>48</v>
      </c>
      <c r="C1991" s="14" t="s">
        <v>227</v>
      </c>
      <c r="D1991" s="0" t="n">
        <f aca="false">'02 SIZE_RUN'!Q54</f>
        <v>96</v>
      </c>
      <c r="E1991" s="14" t="s">
        <v>228</v>
      </c>
      <c r="F1991" s="0" t="n">
        <f aca="false">'02 SIZE_RUN'!R54</f>
        <v>24</v>
      </c>
      <c r="G1991" s="14" t="s">
        <v>229</v>
      </c>
      <c r="H1991" s="0" t="n">
        <f aca="false">'02 SIZE_RUN'!S54</f>
        <v>8</v>
      </c>
    </row>
    <row r="1992" customFormat="false" ht="18" hidden="false" customHeight="true" outlineLevel="0" collapsed="false">
      <c r="A1992" s="14" t="s">
        <v>230</v>
      </c>
      <c r="B1992" s="0" t="n">
        <f aca="false">'02 SIZE_RUN'!T54</f>
        <v>17</v>
      </c>
      <c r="C1992" s="14" t="s">
        <v>231</v>
      </c>
      <c r="D1992" s="0" t="n">
        <f aca="false">'02 SIZE_RUN'!U54</f>
        <v>1</v>
      </c>
      <c r="E1992" s="14" t="s">
        <v>232</v>
      </c>
      <c r="F1992" s="0" t="n">
        <f aca="false">'02 SIZE_RUN'!V54</f>
        <v>0</v>
      </c>
      <c r="G1992" s="14" t="s">
        <v>233</v>
      </c>
      <c r="H1992" s="0" t="n">
        <f aca="false">'02 SIZE_RUN'!W54</f>
        <v>0</v>
      </c>
    </row>
    <row r="1993" customFormat="false" ht="18" hidden="false" customHeight="true" outlineLevel="0" collapsed="false">
      <c r="A1993" s="14" t="s">
        <v>234</v>
      </c>
      <c r="B1993" s="0" t="n">
        <f aca="false">'02 SIZE_RUN'!X54</f>
        <v>0</v>
      </c>
      <c r="C1993" s="14" t="s">
        <v>235</v>
      </c>
      <c r="D1993" s="0" t="n">
        <f aca="false">'02 SIZE_RUN'!Y54</f>
        <v>0</v>
      </c>
      <c r="E1993" s="14" t="s">
        <v>236</v>
      </c>
      <c r="F1993" s="0" t="n">
        <f aca="false">'02 SIZE_RUN'!Z54</f>
        <v>0</v>
      </c>
      <c r="G1993" s="14" t="s">
        <v>237</v>
      </c>
      <c r="H1993" s="0" t="n">
        <f aca="false">'02 SIZE_RUN'!AA54</f>
        <v>0</v>
      </c>
    </row>
    <row r="1994" customFormat="false" ht="18" hidden="false" customHeight="true" outlineLevel="0" collapsed="false">
      <c r="A1994" s="14" t="s">
        <v>238</v>
      </c>
      <c r="B1994" s="0" t="n">
        <f aca="false">'02 SIZE_RUN'!AB54</f>
        <v>0</v>
      </c>
      <c r="C1994" s="14" t="s">
        <v>239</v>
      </c>
      <c r="D1994" s="0" t="n">
        <f aca="false">'02 SIZE_RUN'!AC54</f>
        <v>0</v>
      </c>
      <c r="E1994" s="14" t="s">
        <v>240</v>
      </c>
      <c r="F1994" s="0" t="n">
        <f aca="false">'02 SIZE_RUN'!AD54</f>
        <v>0</v>
      </c>
      <c r="G1994" s="14" t="s">
        <v>241</v>
      </c>
      <c r="H1994" s="0" t="n">
        <f aca="false">'02 SIZE_RUN'!AE54</f>
        <v>0</v>
      </c>
    </row>
    <row r="1995" customFormat="false" ht="18" hidden="false" customHeight="true" outlineLevel="0" collapsed="false">
      <c r="A1995" s="14" t="s">
        <v>242</v>
      </c>
      <c r="B1995" s="0" t="n">
        <f aca="false">'02 SIZE_RUN'!AF54</f>
        <v>0</v>
      </c>
    </row>
    <row r="1996" customFormat="false" ht="18" hidden="false" customHeight="true" outlineLevel="0" collapsed="false">
      <c r="A1996" s="10" t="str">
        <f aca="false">"TOTAL SIZE: "&amp;'02 SIZE_RUN'!AG54&amp;" | SELISIH: "&amp;'02 SIZE_RUN'!AH54</f>
        <v>TOTAL SIZE: 690 | SELISIH: 0</v>
      </c>
      <c r="B1996" s="10"/>
      <c r="C1996" s="10"/>
      <c r="D1996" s="10"/>
      <c r="E1996" s="10"/>
      <c r="F1996" s="10"/>
      <c r="G1996" s="10"/>
      <c r="H1996" s="10"/>
    </row>
    <row r="1997" customFormat="false" ht="18" hidden="false" customHeight="true" outlineLevel="0" collapsed="false">
      <c r="A1997" s="10" t="s">
        <v>255</v>
      </c>
      <c r="B1997" s="10"/>
      <c r="C1997" s="10"/>
      <c r="D1997" s="13" t="str">
        <f aca="false">IF('01 ADMIN_ORDER'!P54="","BELUM DITETAPKAN",TEXT('01 ADMIN_ORDER'!P54,"dd mmm yyyy"))</f>
        <v>BELUM DITETAPKAN</v>
      </c>
      <c r="E1997" s="13"/>
      <c r="F1997" s="13"/>
      <c r="G1997" s="13"/>
      <c r="H1997" s="13"/>
    </row>
    <row r="1998" customFormat="false" ht="18" hidden="false" customHeight="true" outlineLevel="0" collapsed="false">
      <c r="A1998" s="10" t="s">
        <v>256</v>
      </c>
      <c r="B1998" s="10"/>
      <c r="C1998" s="10"/>
      <c r="D1998" s="13" t="str">
        <f aca="false">IF('01 ADMIN_ORDER'!Q54="","BELUM DITETAPKAN",TEXT('01 ADMIN_ORDER'!Q54,"dd mmm yyyy"))</f>
        <v>BELUM DITETAPKAN</v>
      </c>
      <c r="E1998" s="13"/>
      <c r="F1998" s="13"/>
      <c r="G1998" s="13"/>
      <c r="H1998" s="13"/>
    </row>
    <row r="1999" customFormat="false" ht="25.5" hidden="false" customHeight="true" outlineLevel="0" collapsed="false">
      <c r="A1999" s="12" t="str">
        <f aca="false">"REFERENSI ASSEMBLY (bukan target upper): "&amp;TEXT('01 ADMIN_ORDER'!M54,"dd mmm yyyy")&amp;" - "&amp;TEXT('01 ADMIN_ORDER'!N54,"dd mmm yyyy")</f>
        <v>REFERENSI ASSEMBLY (bukan target upper): 14 Oct 2026 - 15 Oct 2026</v>
      </c>
      <c r="B1999" s="12"/>
      <c r="C1999" s="12"/>
      <c r="D1999" s="12"/>
      <c r="E1999" s="12"/>
      <c r="F1999" s="12"/>
      <c r="G1999" s="12"/>
      <c r="H1999" s="12"/>
    </row>
    <row r="2000" customFormat="false" ht="18" hidden="false" customHeight="true" outlineLevel="0" collapsed="false">
      <c r="A2000" s="10" t="s">
        <v>257</v>
      </c>
      <c r="B2000" s="10"/>
      <c r="C2000" s="10"/>
      <c r="D2000" s="13" t="str">
        <f aca="false">IF('04 KESIAPAN'!G54="","BELUM DIISI",'04 KESIAPAN'!G54)</f>
        <v>BELUM DIISI</v>
      </c>
      <c r="E2000" s="13"/>
      <c r="F2000" s="13"/>
      <c r="G2000" s="13"/>
      <c r="H2000" s="13"/>
    </row>
    <row r="2001" customFormat="false" ht="18" hidden="false" customHeight="true" outlineLevel="0" collapsed="false">
      <c r="A2001" s="10" t="s">
        <v>258</v>
      </c>
      <c r="B2001" s="10"/>
      <c r="C2001" s="10"/>
      <c r="D2001" s="13" t="str">
        <f aca="false">IF('04 KESIAPAN'!H54="","BELUM DIISI",'04 KESIAPAN'!H54)</f>
        <v>BELUM DIISI</v>
      </c>
      <c r="E2001" s="13"/>
      <c r="F2001" s="13"/>
      <c r="G2001" s="13"/>
      <c r="H2001" s="13"/>
    </row>
    <row r="2002" customFormat="false" ht="18" hidden="false" customHeight="true" outlineLevel="0" collapsed="false">
      <c r="A2002" s="10" t="s">
        <v>259</v>
      </c>
      <c r="B2002" s="10"/>
      <c r="C2002" s="10"/>
      <c r="D2002" s="13" t="str">
        <f aca="false">IF('04 KESIAPAN'!I54="","BELUM DIISI",'04 KESIAPAN'!I54)</f>
        <v>BELUM DIISI</v>
      </c>
      <c r="E2002" s="13"/>
      <c r="F2002" s="13"/>
      <c r="G2002" s="13"/>
      <c r="H2002" s="13"/>
    </row>
    <row r="2003" customFormat="false" ht="18" hidden="false" customHeight="true" outlineLevel="0" collapsed="false">
      <c r="A2003" s="10" t="s">
        <v>260</v>
      </c>
      <c r="B2003" s="10"/>
      <c r="C2003" s="10"/>
      <c r="D2003" s="13" t="str">
        <f aca="false">IF('04 KESIAPAN'!K54="","BELUM DIISI",'04 KESIAPAN'!K54)</f>
        <v>BELUM DIISI</v>
      </c>
      <c r="E2003" s="13"/>
      <c r="F2003" s="13"/>
      <c r="G2003" s="13"/>
      <c r="H2003" s="13"/>
    </row>
    <row r="2004" customFormat="false" ht="18" hidden="false" customHeight="true" outlineLevel="0" collapsed="false">
      <c r="A2004" s="10" t="s">
        <v>261</v>
      </c>
      <c r="B2004" s="10"/>
      <c r="C2004" s="10"/>
      <c r="D2004" s="13" t="str">
        <f aca="false">IF('04 KESIAPAN'!L54="","BELUM DIISI",'04 KESIAPAN'!L54)</f>
        <v>BELUM DIISI</v>
      </c>
      <c r="E2004" s="13"/>
      <c r="F2004" s="13"/>
      <c r="G2004" s="13"/>
      <c r="H2004" s="13"/>
    </row>
    <row r="2005" customFormat="false" ht="18" hidden="false" customHeight="true" outlineLevel="0" collapsed="false">
      <c r="A2005" s="10" t="s">
        <v>262</v>
      </c>
      <c r="B2005" s="10"/>
      <c r="C2005" s="10"/>
      <c r="D2005" s="13" t="str">
        <f aca="false">IF('04 KESIAPAN'!N54="","BELUM DIISI",'04 KESIAPAN'!N54)</f>
        <v>BELUM DIISI</v>
      </c>
      <c r="E2005" s="13"/>
      <c r="F2005" s="13"/>
      <c r="G2005" s="13"/>
      <c r="H2005" s="13"/>
    </row>
    <row r="2006" customFormat="false" ht="18" hidden="false" customHeight="true" outlineLevel="0" collapsed="false">
      <c r="A2006" s="10" t="s">
        <v>263</v>
      </c>
      <c r="B2006" s="10"/>
      <c r="C2006" s="10"/>
      <c r="D2006" s="13" t="str">
        <f aca="false">IF('04 KESIAPAN'!P54="","BELUM DIISI",'04 KESIAPAN'!P54)</f>
        <v>BELUM DIISI</v>
      </c>
      <c r="E2006" s="13"/>
      <c r="F2006" s="13"/>
      <c r="G2006" s="13"/>
      <c r="H2006" s="13"/>
    </row>
    <row r="2007" customFormat="false" ht="18" hidden="false" customHeight="true" outlineLevel="0" collapsed="false">
      <c r="A2007" s="7" t="s">
        <v>264</v>
      </c>
      <c r="B2007" s="7"/>
      <c r="C2007" s="7"/>
      <c r="D2007" s="7"/>
      <c r="E2007" s="7"/>
      <c r="F2007" s="7"/>
      <c r="G2007" s="7"/>
      <c r="H2007" s="7"/>
    </row>
    <row r="2008" customFormat="false" ht="18" hidden="false" customHeight="true" outlineLevel="0" collapsed="false">
      <c r="A2008" s="13"/>
      <c r="B2008" s="13"/>
      <c r="C2008" s="13"/>
      <c r="D2008" s="13"/>
      <c r="E2008" s="13"/>
      <c r="F2008" s="13"/>
      <c r="G2008" s="13"/>
      <c r="H2008" s="13"/>
    </row>
    <row r="2009" customFormat="false" ht="18" hidden="false" customHeight="true" outlineLevel="0" collapsed="false">
      <c r="A2009" s="13"/>
      <c r="B2009" s="13"/>
      <c r="C2009" s="13"/>
      <c r="D2009" s="13"/>
      <c r="E2009" s="13"/>
      <c r="F2009" s="13"/>
      <c r="G2009" s="13"/>
      <c r="H2009" s="13"/>
    </row>
    <row r="2010" customFormat="false" ht="18" hidden="false" customHeight="true" outlineLevel="0" collapsed="false">
      <c r="A2010" s="13"/>
      <c r="B2010" s="13"/>
      <c r="C2010" s="13"/>
      <c r="D2010" s="13"/>
      <c r="E2010" s="13"/>
      <c r="F2010" s="13"/>
      <c r="G2010" s="13"/>
      <c r="H2010" s="13"/>
    </row>
    <row r="2011" customFormat="false" ht="18" hidden="false" customHeight="true" outlineLevel="0" collapsed="false">
      <c r="A2011" s="12" t="s">
        <v>265</v>
      </c>
      <c r="B2011" s="12"/>
      <c r="C2011" s="12"/>
      <c r="D2011" s="12"/>
      <c r="E2011" s="12" t="s">
        <v>266</v>
      </c>
      <c r="F2011" s="12"/>
      <c r="G2011" s="12"/>
      <c r="H2011" s="12"/>
    </row>
    <row r="2012" customFormat="false" ht="18" hidden="false" customHeight="true" outlineLevel="0" collapsed="false">
      <c r="A2012" s="12" t="s">
        <v>319</v>
      </c>
      <c r="B2012" s="12"/>
      <c r="C2012" s="12"/>
      <c r="D2012" s="12"/>
      <c r="E2012" s="12"/>
      <c r="F2012" s="12"/>
      <c r="G2012" s="12"/>
      <c r="H2012" s="12"/>
    </row>
    <row r="2013" customFormat="false" ht="18" hidden="false" customHeight="true" outlineLevel="0" collapsed="false"/>
    <row r="2014" customFormat="false" ht="18" hidden="false" customHeight="true" outlineLevel="0" collapsed="false"/>
    <row r="2015" customFormat="false" ht="25.5" hidden="false" customHeight="true" outlineLevel="0" collapsed="false">
      <c r="A2015" s="7" t="s">
        <v>246</v>
      </c>
      <c r="B2015" s="7"/>
      <c r="C2015" s="7"/>
      <c r="D2015" s="7"/>
      <c r="E2015" s="7"/>
      <c r="F2015" s="7"/>
      <c r="G2015" s="7"/>
      <c r="H2015" s="7"/>
    </row>
    <row r="2016" customFormat="false" ht="18" hidden="false" customHeight="true" outlineLevel="0" collapsed="false">
      <c r="A2016" s="8" t="str">
        <f aca="false">'01 ADMIN_ORDER'!R55</f>
        <v>DRAFT - PERLU VERIFIKASI</v>
      </c>
      <c r="B2016" s="8"/>
      <c r="C2016" s="8"/>
      <c r="D2016" s="8"/>
      <c r="E2016" s="8"/>
      <c r="F2016" s="8"/>
      <c r="G2016" s="8"/>
      <c r="H2016" s="8"/>
    </row>
    <row r="2017" customFormat="false" ht="18" hidden="false" customHeight="true" outlineLevel="0" collapsed="false">
      <c r="A2017" s="9" t="s">
        <v>247</v>
      </c>
      <c r="B2017" s="9"/>
      <c r="C2017" s="9"/>
      <c r="D2017" s="9"/>
      <c r="E2017" s="9"/>
      <c r="F2017" s="9"/>
      <c r="G2017" s="9"/>
      <c r="H2017" s="9"/>
    </row>
    <row r="2018" customFormat="false" ht="18" hidden="false" customHeight="true" outlineLevel="0" collapsed="false">
      <c r="A2018" s="10" t="s">
        <v>248</v>
      </c>
      <c r="B2018" s="10"/>
      <c r="C2018" s="11" t="str">
        <f aca="false">'01 ADMIN_ORDER'!A55</f>
        <v>190/10/54 (59)</v>
      </c>
      <c r="D2018" s="11"/>
      <c r="E2018" s="11"/>
      <c r="F2018" s="11"/>
      <c r="G2018" s="11"/>
      <c r="H2018" s="11"/>
    </row>
    <row r="2019" customFormat="false" ht="18" hidden="false" customHeight="true" outlineLevel="0" collapsed="false">
      <c r="A2019" s="10" t="s">
        <v>249</v>
      </c>
      <c r="B2019" s="10"/>
      <c r="C2019" s="12" t="str">
        <f aca="false">'01 ADMIN_ORDER'!C55&amp;" / "&amp;'01 ADMIN_ORDER'!D55</f>
        <v>FRONTCOURT LOW / LA6615</v>
      </c>
      <c r="D2019" s="12"/>
      <c r="E2019" s="12"/>
      <c r="F2019" s="12"/>
      <c r="G2019" s="12"/>
      <c r="H2019" s="12"/>
    </row>
    <row r="2020" customFormat="false" ht="18" hidden="false" customHeight="true" outlineLevel="0" collapsed="false">
      <c r="A2020" s="10" t="s">
        <v>250</v>
      </c>
      <c r="B2020" s="10"/>
      <c r="C2020" s="12" t="str">
        <f aca="false">'01 ADMIN_ORDER'!E55</f>
        <v>903267750</v>
      </c>
      <c r="D2020" s="12"/>
      <c r="E2020" s="12"/>
      <c r="F2020" s="12"/>
      <c r="G2020" s="12"/>
      <c r="H2020" s="12"/>
    </row>
    <row r="2021" customFormat="false" ht="27.75" hidden="false" customHeight="true" outlineLevel="0" collapsed="false">
      <c r="A2021" s="10" t="s">
        <v>251</v>
      </c>
      <c r="B2021" s="10"/>
      <c r="C2021" s="12" t="str">
        <f aca="false">'01 ADMIN_ORDER'!H55</f>
        <v>FTWR WHITE/CORE BLACK/GREY ONE</v>
      </c>
      <c r="D2021" s="12"/>
      <c r="E2021" s="12"/>
      <c r="F2021" s="12"/>
      <c r="G2021" s="12"/>
      <c r="H2021" s="12"/>
    </row>
    <row r="2022" customFormat="false" ht="18" hidden="false" customHeight="true" outlineLevel="0" collapsed="false">
      <c r="A2022" s="10" t="s">
        <v>252</v>
      </c>
      <c r="B2022" s="10"/>
      <c r="C2022" s="12" t="str">
        <f aca="false">'01 ADMIN_ORDER'!B55&amp;" / "&amp;'01 ADMIN_ORDER'!G55</f>
        <v>B-19 / Turkey</v>
      </c>
      <c r="D2022" s="12"/>
      <c r="E2022" s="12"/>
      <c r="F2022" s="12"/>
      <c r="G2022" s="12"/>
      <c r="H2022" s="12"/>
    </row>
    <row r="2023" customFormat="false" ht="18" hidden="false" customHeight="true" outlineLevel="0" collapsed="false">
      <c r="A2023" s="10" t="s">
        <v>253</v>
      </c>
      <c r="B2023" s="10"/>
      <c r="C2023" s="13" t="str">
        <f aca="false">'01 ADMIN_ORDER'!I55&amp;" / "&amp;IF('04 KESIAPAN'!B55="","UOM BELUM DIISI",'04 KESIAPAN'!B55)</f>
        <v>1884 / UOM BELUM DIISI</v>
      </c>
      <c r="D2023" s="13"/>
      <c r="E2023" s="13"/>
      <c r="F2023" s="13"/>
      <c r="G2023" s="13"/>
      <c r="H2023" s="13"/>
    </row>
    <row r="2024" customFormat="false" ht="18" hidden="false" customHeight="true" outlineLevel="0" collapsed="false">
      <c r="A2024" s="13" t="str">
        <f aca="false">IF('04 KESIAPAN'!C55="","SISTEM UKURAN BELUM DIISI",'04 KESIAPAN'!C55)&amp;" | Tanda -: "&amp;IF('04 KESIAPAN'!D55="","BELUM DIKONFIRMASI",'04 KESIAPAN'!D55)</f>
        <v>SISTEM UKURAN BELUM DIISI | Tanda -: BELUM DIKONFIRMASI</v>
      </c>
      <c r="B2024" s="13"/>
      <c r="C2024" s="13"/>
      <c r="D2024" s="13"/>
      <c r="E2024" s="13"/>
      <c r="F2024" s="13"/>
      <c r="G2024" s="13"/>
      <c r="H2024" s="13"/>
    </row>
    <row r="2025" customFormat="false" ht="18" hidden="false" customHeight="true" outlineLevel="0" collapsed="false">
      <c r="A2025" s="7" t="s">
        <v>254</v>
      </c>
      <c r="B2025" s="7"/>
      <c r="C2025" s="7"/>
      <c r="D2025" s="7"/>
      <c r="E2025" s="7"/>
      <c r="F2025" s="7"/>
      <c r="G2025" s="7"/>
      <c r="H2025" s="7"/>
    </row>
    <row r="2026" customFormat="false" ht="18" hidden="false" customHeight="true" outlineLevel="0" collapsed="false">
      <c r="A2026" s="14" t="s">
        <v>214</v>
      </c>
      <c r="B2026" s="0" t="n">
        <f aca="false">'02 SIZE_RUN'!D55</f>
        <v>0</v>
      </c>
      <c r="C2026" s="14" t="s">
        <v>215</v>
      </c>
      <c r="D2026" s="0" t="n">
        <f aca="false">'02 SIZE_RUN'!E55</f>
        <v>0</v>
      </c>
      <c r="E2026" s="14" t="s">
        <v>216</v>
      </c>
      <c r="F2026" s="0" t="n">
        <f aca="false">'02 SIZE_RUN'!F55</f>
        <v>0</v>
      </c>
      <c r="G2026" s="14" t="s">
        <v>217</v>
      </c>
      <c r="H2026" s="0" t="n">
        <f aca="false">'02 SIZE_RUN'!G55</f>
        <v>0</v>
      </c>
    </row>
    <row r="2027" customFormat="false" ht="18" hidden="false" customHeight="true" outlineLevel="0" collapsed="false">
      <c r="A2027" s="14" t="s">
        <v>218</v>
      </c>
      <c r="B2027" s="0" t="n">
        <f aca="false">'02 SIZE_RUN'!H55</f>
        <v>0</v>
      </c>
      <c r="C2027" s="14" t="s">
        <v>219</v>
      </c>
      <c r="D2027" s="0" t="n">
        <f aca="false">'02 SIZE_RUN'!I55</f>
        <v>0</v>
      </c>
      <c r="E2027" s="14" t="s">
        <v>220</v>
      </c>
      <c r="F2027" s="0" t="n">
        <f aca="false">'02 SIZE_RUN'!J55</f>
        <v>16</v>
      </c>
      <c r="G2027" s="14" t="s">
        <v>221</v>
      </c>
      <c r="H2027" s="0" t="n">
        <f aca="false">'02 SIZE_RUN'!K55</f>
        <v>78</v>
      </c>
    </row>
    <row r="2028" customFormat="false" ht="18" hidden="false" customHeight="true" outlineLevel="0" collapsed="false">
      <c r="A2028" s="14" t="s">
        <v>222</v>
      </c>
      <c r="B2028" s="0" t="n">
        <f aca="false">'02 SIZE_RUN'!L55</f>
        <v>104</v>
      </c>
      <c r="C2028" s="14" t="s">
        <v>223</v>
      </c>
      <c r="D2028" s="0" t="n">
        <f aca="false">'02 SIZE_RUN'!M55</f>
        <v>255</v>
      </c>
      <c r="E2028" s="14" t="s">
        <v>224</v>
      </c>
      <c r="F2028" s="0" t="n">
        <f aca="false">'02 SIZE_RUN'!N55</f>
        <v>293</v>
      </c>
      <c r="G2028" s="14" t="s">
        <v>225</v>
      </c>
      <c r="H2028" s="0" t="n">
        <f aca="false">'02 SIZE_RUN'!O55</f>
        <v>291</v>
      </c>
    </row>
    <row r="2029" customFormat="false" ht="18" hidden="false" customHeight="true" outlineLevel="0" collapsed="false">
      <c r="A2029" s="14" t="s">
        <v>226</v>
      </c>
      <c r="B2029" s="0" t="n">
        <f aca="false">'02 SIZE_RUN'!P55</f>
        <v>295</v>
      </c>
      <c r="C2029" s="14" t="s">
        <v>227</v>
      </c>
      <c r="D2029" s="0" t="n">
        <f aca="false">'02 SIZE_RUN'!Q55</f>
        <v>189</v>
      </c>
      <c r="E2029" s="14" t="s">
        <v>228</v>
      </c>
      <c r="F2029" s="0" t="n">
        <f aca="false">'02 SIZE_RUN'!R55</f>
        <v>131</v>
      </c>
      <c r="G2029" s="14" t="s">
        <v>229</v>
      </c>
      <c r="H2029" s="0" t="n">
        <f aca="false">'02 SIZE_RUN'!S55</f>
        <v>119</v>
      </c>
    </row>
    <row r="2030" customFormat="false" ht="18" hidden="false" customHeight="true" outlineLevel="0" collapsed="false">
      <c r="A2030" s="14" t="s">
        <v>230</v>
      </c>
      <c r="B2030" s="0" t="n">
        <f aca="false">'02 SIZE_RUN'!T55</f>
        <v>46</v>
      </c>
      <c r="C2030" s="14" t="s">
        <v>231</v>
      </c>
      <c r="D2030" s="0" t="n">
        <f aca="false">'02 SIZE_RUN'!U55</f>
        <v>24</v>
      </c>
      <c r="E2030" s="14" t="s">
        <v>232</v>
      </c>
      <c r="F2030" s="0" t="n">
        <f aca="false">'02 SIZE_RUN'!V55</f>
        <v>19</v>
      </c>
      <c r="G2030" s="14" t="s">
        <v>233</v>
      </c>
      <c r="H2030" s="0" t="n">
        <f aca="false">'02 SIZE_RUN'!W55</f>
        <v>14</v>
      </c>
    </row>
    <row r="2031" customFormat="false" ht="18" hidden="false" customHeight="true" outlineLevel="0" collapsed="false">
      <c r="A2031" s="14" t="s">
        <v>234</v>
      </c>
      <c r="B2031" s="0" t="n">
        <f aca="false">'02 SIZE_RUN'!X55</f>
        <v>0</v>
      </c>
      <c r="C2031" s="14" t="s">
        <v>235</v>
      </c>
      <c r="D2031" s="0" t="n">
        <f aca="false">'02 SIZE_RUN'!Y55</f>
        <v>10</v>
      </c>
      <c r="E2031" s="14" t="s">
        <v>236</v>
      </c>
      <c r="F2031" s="0" t="n">
        <f aca="false">'02 SIZE_RUN'!Z55</f>
        <v>0</v>
      </c>
      <c r="G2031" s="14" t="s">
        <v>237</v>
      </c>
      <c r="H2031" s="0" t="n">
        <f aca="false">'02 SIZE_RUN'!AA55</f>
        <v>0</v>
      </c>
    </row>
    <row r="2032" customFormat="false" ht="18" hidden="false" customHeight="true" outlineLevel="0" collapsed="false">
      <c r="A2032" s="14" t="s">
        <v>238</v>
      </c>
      <c r="B2032" s="0" t="n">
        <f aca="false">'02 SIZE_RUN'!AB55</f>
        <v>0</v>
      </c>
      <c r="C2032" s="14" t="s">
        <v>239</v>
      </c>
      <c r="D2032" s="0" t="n">
        <f aca="false">'02 SIZE_RUN'!AC55</f>
        <v>0</v>
      </c>
      <c r="E2032" s="14" t="s">
        <v>240</v>
      </c>
      <c r="F2032" s="0" t="n">
        <f aca="false">'02 SIZE_RUN'!AD55</f>
        <v>0</v>
      </c>
      <c r="G2032" s="14" t="s">
        <v>241</v>
      </c>
      <c r="H2032" s="0" t="n">
        <f aca="false">'02 SIZE_RUN'!AE55</f>
        <v>0</v>
      </c>
    </row>
    <row r="2033" customFormat="false" ht="18" hidden="false" customHeight="true" outlineLevel="0" collapsed="false">
      <c r="A2033" s="14" t="s">
        <v>242</v>
      </c>
      <c r="B2033" s="0" t="n">
        <f aca="false">'02 SIZE_RUN'!AF55</f>
        <v>0</v>
      </c>
    </row>
    <row r="2034" customFormat="false" ht="18" hidden="false" customHeight="true" outlineLevel="0" collapsed="false">
      <c r="A2034" s="10" t="str">
        <f aca="false">"TOTAL SIZE: "&amp;'02 SIZE_RUN'!AG55&amp;" | SELISIH: "&amp;'02 SIZE_RUN'!AH55</f>
        <v>TOTAL SIZE: 1884 | SELISIH: 0</v>
      </c>
      <c r="B2034" s="10"/>
      <c r="C2034" s="10"/>
      <c r="D2034" s="10"/>
      <c r="E2034" s="10"/>
      <c r="F2034" s="10"/>
      <c r="G2034" s="10"/>
      <c r="H2034" s="10"/>
    </row>
    <row r="2035" customFormat="false" ht="18" hidden="false" customHeight="true" outlineLevel="0" collapsed="false">
      <c r="A2035" s="10" t="s">
        <v>255</v>
      </c>
      <c r="B2035" s="10"/>
      <c r="C2035" s="10"/>
      <c r="D2035" s="13" t="str">
        <f aca="false">IF('01 ADMIN_ORDER'!P55="","BELUM DITETAPKAN",TEXT('01 ADMIN_ORDER'!P55,"dd mmm yyyy"))</f>
        <v>BELUM DITETAPKAN</v>
      </c>
      <c r="E2035" s="13"/>
      <c r="F2035" s="13"/>
      <c r="G2035" s="13"/>
      <c r="H2035" s="13"/>
    </row>
    <row r="2036" customFormat="false" ht="18" hidden="false" customHeight="true" outlineLevel="0" collapsed="false">
      <c r="A2036" s="10" t="s">
        <v>256</v>
      </c>
      <c r="B2036" s="10"/>
      <c r="C2036" s="10"/>
      <c r="D2036" s="13" t="str">
        <f aca="false">IF('01 ADMIN_ORDER'!Q55="","BELUM DITETAPKAN",TEXT('01 ADMIN_ORDER'!Q55,"dd mmm yyyy"))</f>
        <v>BELUM DITETAPKAN</v>
      </c>
      <c r="E2036" s="13"/>
      <c r="F2036" s="13"/>
      <c r="G2036" s="13"/>
      <c r="H2036" s="13"/>
    </row>
    <row r="2037" customFormat="false" ht="25.5" hidden="false" customHeight="true" outlineLevel="0" collapsed="false">
      <c r="A2037" s="12" t="str">
        <f aca="false">"REFERENSI ASSEMBLY (bukan target upper): "&amp;TEXT('01 ADMIN_ORDER'!M55,"dd mmm yyyy")&amp;" - "&amp;TEXT('01 ADMIN_ORDER'!N55,"dd mmm yyyy")</f>
        <v>REFERENSI ASSEMBLY (bukan target upper): 15 Oct 2026 - 19 Oct 2026</v>
      </c>
      <c r="B2037" s="12"/>
      <c r="C2037" s="12"/>
      <c r="D2037" s="12"/>
      <c r="E2037" s="12"/>
      <c r="F2037" s="12"/>
      <c r="G2037" s="12"/>
      <c r="H2037" s="12"/>
    </row>
    <row r="2038" customFormat="false" ht="18" hidden="false" customHeight="true" outlineLevel="0" collapsed="false">
      <c r="A2038" s="10" t="s">
        <v>257</v>
      </c>
      <c r="B2038" s="10"/>
      <c r="C2038" s="10"/>
      <c r="D2038" s="13" t="str">
        <f aca="false">IF('04 KESIAPAN'!G55="","BELUM DIISI",'04 KESIAPAN'!G55)</f>
        <v>BELUM DIISI</v>
      </c>
      <c r="E2038" s="13"/>
      <c r="F2038" s="13"/>
      <c r="G2038" s="13"/>
      <c r="H2038" s="13"/>
    </row>
    <row r="2039" customFormat="false" ht="18" hidden="false" customHeight="true" outlineLevel="0" collapsed="false">
      <c r="A2039" s="10" t="s">
        <v>258</v>
      </c>
      <c r="B2039" s="10"/>
      <c r="C2039" s="10"/>
      <c r="D2039" s="13" t="str">
        <f aca="false">IF('04 KESIAPAN'!H55="","BELUM DIISI",'04 KESIAPAN'!H55)</f>
        <v>BELUM DIISI</v>
      </c>
      <c r="E2039" s="13"/>
      <c r="F2039" s="13"/>
      <c r="G2039" s="13"/>
      <c r="H2039" s="13"/>
    </row>
    <row r="2040" customFormat="false" ht="18" hidden="false" customHeight="true" outlineLevel="0" collapsed="false">
      <c r="A2040" s="10" t="s">
        <v>259</v>
      </c>
      <c r="B2040" s="10"/>
      <c r="C2040" s="10"/>
      <c r="D2040" s="13" t="str">
        <f aca="false">IF('04 KESIAPAN'!I55="","BELUM DIISI",'04 KESIAPAN'!I55)</f>
        <v>BELUM DIISI</v>
      </c>
      <c r="E2040" s="13"/>
      <c r="F2040" s="13"/>
      <c r="G2040" s="13"/>
      <c r="H2040" s="13"/>
    </row>
    <row r="2041" customFormat="false" ht="18" hidden="false" customHeight="true" outlineLevel="0" collapsed="false">
      <c r="A2041" s="10" t="s">
        <v>260</v>
      </c>
      <c r="B2041" s="10"/>
      <c r="C2041" s="10"/>
      <c r="D2041" s="13" t="str">
        <f aca="false">IF('04 KESIAPAN'!K55="","BELUM DIISI",'04 KESIAPAN'!K55)</f>
        <v>BELUM DIISI</v>
      </c>
      <c r="E2041" s="13"/>
      <c r="F2041" s="13"/>
      <c r="G2041" s="13"/>
      <c r="H2041" s="13"/>
    </row>
    <row r="2042" customFormat="false" ht="18" hidden="false" customHeight="true" outlineLevel="0" collapsed="false">
      <c r="A2042" s="10" t="s">
        <v>261</v>
      </c>
      <c r="B2042" s="10"/>
      <c r="C2042" s="10"/>
      <c r="D2042" s="13" t="str">
        <f aca="false">IF('04 KESIAPAN'!L55="","BELUM DIISI",'04 KESIAPAN'!L55)</f>
        <v>BELUM DIISI</v>
      </c>
      <c r="E2042" s="13"/>
      <c r="F2042" s="13"/>
      <c r="G2042" s="13"/>
      <c r="H2042" s="13"/>
    </row>
    <row r="2043" customFormat="false" ht="18" hidden="false" customHeight="true" outlineLevel="0" collapsed="false">
      <c r="A2043" s="10" t="s">
        <v>262</v>
      </c>
      <c r="B2043" s="10"/>
      <c r="C2043" s="10"/>
      <c r="D2043" s="13" t="str">
        <f aca="false">IF('04 KESIAPAN'!N55="","BELUM DIISI",'04 KESIAPAN'!N55)</f>
        <v>BELUM DIISI</v>
      </c>
      <c r="E2043" s="13"/>
      <c r="F2043" s="13"/>
      <c r="G2043" s="13"/>
      <c r="H2043" s="13"/>
    </row>
    <row r="2044" customFormat="false" ht="18" hidden="false" customHeight="true" outlineLevel="0" collapsed="false">
      <c r="A2044" s="10" t="s">
        <v>263</v>
      </c>
      <c r="B2044" s="10"/>
      <c r="C2044" s="10"/>
      <c r="D2044" s="13" t="str">
        <f aca="false">IF('04 KESIAPAN'!P55="","BELUM DIISI",'04 KESIAPAN'!P55)</f>
        <v>BELUM DIISI</v>
      </c>
      <c r="E2044" s="13"/>
      <c r="F2044" s="13"/>
      <c r="G2044" s="13"/>
      <c r="H2044" s="13"/>
    </row>
    <row r="2045" customFormat="false" ht="18" hidden="false" customHeight="true" outlineLevel="0" collapsed="false">
      <c r="A2045" s="7" t="s">
        <v>264</v>
      </c>
      <c r="B2045" s="7"/>
      <c r="C2045" s="7"/>
      <c r="D2045" s="7"/>
      <c r="E2045" s="7"/>
      <c r="F2045" s="7"/>
      <c r="G2045" s="7"/>
      <c r="H2045" s="7"/>
    </row>
    <row r="2046" customFormat="false" ht="18" hidden="false" customHeight="true" outlineLevel="0" collapsed="false">
      <c r="A2046" s="13"/>
      <c r="B2046" s="13"/>
      <c r="C2046" s="13"/>
      <c r="D2046" s="13"/>
      <c r="E2046" s="13"/>
      <c r="F2046" s="13"/>
      <c r="G2046" s="13"/>
      <c r="H2046" s="13"/>
    </row>
    <row r="2047" customFormat="false" ht="18" hidden="false" customHeight="true" outlineLevel="0" collapsed="false">
      <c r="A2047" s="13"/>
      <c r="B2047" s="13"/>
      <c r="C2047" s="13"/>
      <c r="D2047" s="13"/>
      <c r="E2047" s="13"/>
      <c r="F2047" s="13"/>
      <c r="G2047" s="13"/>
      <c r="H2047" s="13"/>
    </row>
    <row r="2048" customFormat="false" ht="18" hidden="false" customHeight="true" outlineLevel="0" collapsed="false">
      <c r="A2048" s="13"/>
      <c r="B2048" s="13"/>
      <c r="C2048" s="13"/>
      <c r="D2048" s="13"/>
      <c r="E2048" s="13"/>
      <c r="F2048" s="13"/>
      <c r="G2048" s="13"/>
      <c r="H2048" s="13"/>
    </row>
    <row r="2049" customFormat="false" ht="18" hidden="false" customHeight="true" outlineLevel="0" collapsed="false">
      <c r="A2049" s="12" t="s">
        <v>265</v>
      </c>
      <c r="B2049" s="12"/>
      <c r="C2049" s="12"/>
      <c r="D2049" s="12"/>
      <c r="E2049" s="12" t="s">
        <v>266</v>
      </c>
      <c r="F2049" s="12"/>
      <c r="G2049" s="12"/>
      <c r="H2049" s="12"/>
    </row>
    <row r="2050" customFormat="false" ht="18" hidden="false" customHeight="true" outlineLevel="0" collapsed="false">
      <c r="A2050" s="12" t="s">
        <v>320</v>
      </c>
      <c r="B2050" s="12"/>
      <c r="C2050" s="12"/>
      <c r="D2050" s="12"/>
      <c r="E2050" s="12"/>
      <c r="F2050" s="12"/>
      <c r="G2050" s="12"/>
      <c r="H2050" s="12"/>
    </row>
    <row r="2051" customFormat="false" ht="18" hidden="false" customHeight="true" outlineLevel="0" collapsed="false"/>
    <row r="2052" customFormat="false" ht="18" hidden="false" customHeight="true" outlineLevel="0" collapsed="false"/>
    <row r="2053" customFormat="false" ht="25.5" hidden="false" customHeight="true" outlineLevel="0" collapsed="false">
      <c r="A2053" s="7" t="s">
        <v>246</v>
      </c>
      <c r="B2053" s="7"/>
      <c r="C2053" s="7"/>
      <c r="D2053" s="7"/>
      <c r="E2053" s="7"/>
      <c r="F2053" s="7"/>
      <c r="G2053" s="7"/>
      <c r="H2053" s="7"/>
    </row>
    <row r="2054" customFormat="false" ht="18" hidden="false" customHeight="true" outlineLevel="0" collapsed="false">
      <c r="A2054" s="8" t="str">
        <f aca="false">'01 ADMIN_ORDER'!R56</f>
        <v>DRAFT - PERLU VERIFIKASI</v>
      </c>
      <c r="B2054" s="8"/>
      <c r="C2054" s="8"/>
      <c r="D2054" s="8"/>
      <c r="E2054" s="8"/>
      <c r="F2054" s="8"/>
      <c r="G2054" s="8"/>
      <c r="H2054" s="8"/>
    </row>
    <row r="2055" customFormat="false" ht="18" hidden="false" customHeight="true" outlineLevel="0" collapsed="false">
      <c r="A2055" s="9" t="s">
        <v>247</v>
      </c>
      <c r="B2055" s="9"/>
      <c r="C2055" s="9"/>
      <c r="D2055" s="9"/>
      <c r="E2055" s="9"/>
      <c r="F2055" s="9"/>
      <c r="G2055" s="9"/>
      <c r="H2055" s="9"/>
    </row>
    <row r="2056" customFormat="false" ht="18" hidden="false" customHeight="true" outlineLevel="0" collapsed="false">
      <c r="A2056" s="10" t="s">
        <v>248</v>
      </c>
      <c r="B2056" s="10"/>
      <c r="C2056" s="11" t="str">
        <f aca="false">'01 ADMIN_ORDER'!A56</f>
        <v>191/10/55 (59)</v>
      </c>
      <c r="D2056" s="11"/>
      <c r="E2056" s="11"/>
      <c r="F2056" s="11"/>
      <c r="G2056" s="11"/>
      <c r="H2056" s="11"/>
    </row>
    <row r="2057" customFormat="false" ht="18" hidden="false" customHeight="true" outlineLevel="0" collapsed="false">
      <c r="A2057" s="10" t="s">
        <v>249</v>
      </c>
      <c r="B2057" s="10"/>
      <c r="C2057" s="12" t="str">
        <f aca="false">'01 ADMIN_ORDER'!C56&amp;" / "&amp;'01 ADMIN_ORDER'!D56</f>
        <v>FRONTCOURT LOW / LA6607</v>
      </c>
      <c r="D2057" s="12"/>
      <c r="E2057" s="12"/>
      <c r="F2057" s="12"/>
      <c r="G2057" s="12"/>
      <c r="H2057" s="12"/>
    </row>
    <row r="2058" customFormat="false" ht="18" hidden="false" customHeight="true" outlineLevel="0" collapsed="false">
      <c r="A2058" s="10" t="s">
        <v>250</v>
      </c>
      <c r="B2058" s="10"/>
      <c r="C2058" s="12" t="str">
        <f aca="false">'01 ADMIN_ORDER'!E56</f>
        <v>903513830</v>
      </c>
      <c r="D2058" s="12"/>
      <c r="E2058" s="12"/>
      <c r="F2058" s="12"/>
      <c r="G2058" s="12"/>
      <c r="H2058" s="12"/>
    </row>
    <row r="2059" customFormat="false" ht="27.75" hidden="false" customHeight="true" outlineLevel="0" collapsed="false">
      <c r="A2059" s="10" t="s">
        <v>251</v>
      </c>
      <c r="B2059" s="10"/>
      <c r="C2059" s="12" t="str">
        <f aca="false">'01 ADMIN_ORDER'!H56</f>
        <v>FTWR WHITE/FTWR WHITE/GREY TWO</v>
      </c>
      <c r="D2059" s="12"/>
      <c r="E2059" s="12"/>
      <c r="F2059" s="12"/>
      <c r="G2059" s="12"/>
      <c r="H2059" s="12"/>
    </row>
    <row r="2060" customFormat="false" ht="18" hidden="false" customHeight="true" outlineLevel="0" collapsed="false">
      <c r="A2060" s="10" t="s">
        <v>252</v>
      </c>
      <c r="B2060" s="10"/>
      <c r="C2060" s="12" t="str">
        <f aca="false">'01 ADMIN_ORDER'!B56&amp;" / "&amp;'01 ADMIN_ORDER'!G56</f>
        <v>B-19 / Germany</v>
      </c>
      <c r="D2060" s="12"/>
      <c r="E2060" s="12"/>
      <c r="F2060" s="12"/>
      <c r="G2060" s="12"/>
      <c r="H2060" s="12"/>
    </row>
    <row r="2061" customFormat="false" ht="18" hidden="false" customHeight="true" outlineLevel="0" collapsed="false">
      <c r="A2061" s="10" t="s">
        <v>253</v>
      </c>
      <c r="B2061" s="10"/>
      <c r="C2061" s="13" t="str">
        <f aca="false">'01 ADMIN_ORDER'!I56&amp;" / "&amp;IF('04 KESIAPAN'!B56="","UOM BELUM DIISI",'04 KESIAPAN'!B56)</f>
        <v>315 / UOM BELUM DIISI</v>
      </c>
      <c r="D2061" s="13"/>
      <c r="E2061" s="13"/>
      <c r="F2061" s="13"/>
      <c r="G2061" s="13"/>
      <c r="H2061" s="13"/>
    </row>
    <row r="2062" customFormat="false" ht="18" hidden="false" customHeight="true" outlineLevel="0" collapsed="false">
      <c r="A2062" s="13" t="str">
        <f aca="false">IF('04 KESIAPAN'!C56="","SISTEM UKURAN BELUM DIISI",'04 KESIAPAN'!C56)&amp;" | Tanda -: "&amp;IF('04 KESIAPAN'!D56="","BELUM DIKONFIRMASI",'04 KESIAPAN'!D56)</f>
        <v>SISTEM UKURAN BELUM DIISI | Tanda -: BELUM DIKONFIRMASI</v>
      </c>
      <c r="B2062" s="13"/>
      <c r="C2062" s="13"/>
      <c r="D2062" s="13"/>
      <c r="E2062" s="13"/>
      <c r="F2062" s="13"/>
      <c r="G2062" s="13"/>
      <c r="H2062" s="13"/>
    </row>
    <row r="2063" customFormat="false" ht="18" hidden="false" customHeight="true" outlineLevel="0" collapsed="false">
      <c r="A2063" s="7" t="s">
        <v>254</v>
      </c>
      <c r="B2063" s="7"/>
      <c r="C2063" s="7"/>
      <c r="D2063" s="7"/>
      <c r="E2063" s="7"/>
      <c r="F2063" s="7"/>
      <c r="G2063" s="7"/>
      <c r="H2063" s="7"/>
    </row>
    <row r="2064" customFormat="false" ht="18" hidden="false" customHeight="true" outlineLevel="0" collapsed="false">
      <c r="A2064" s="14" t="s">
        <v>214</v>
      </c>
      <c r="B2064" s="0" t="n">
        <f aca="false">'02 SIZE_RUN'!D56</f>
        <v>1</v>
      </c>
      <c r="C2064" s="14" t="s">
        <v>215</v>
      </c>
      <c r="D2064" s="0" t="n">
        <f aca="false">'02 SIZE_RUN'!E56</f>
        <v>1</v>
      </c>
      <c r="E2064" s="14" t="s">
        <v>216</v>
      </c>
      <c r="F2064" s="0" t="n">
        <f aca="false">'02 SIZE_RUN'!F56</f>
        <v>2</v>
      </c>
      <c r="G2064" s="14" t="s">
        <v>217</v>
      </c>
      <c r="H2064" s="0" t="n">
        <f aca="false">'02 SIZE_RUN'!G56</f>
        <v>2</v>
      </c>
    </row>
    <row r="2065" customFormat="false" ht="18" hidden="false" customHeight="true" outlineLevel="0" collapsed="false">
      <c r="A2065" s="14" t="s">
        <v>218</v>
      </c>
      <c r="B2065" s="0" t="n">
        <f aca="false">'02 SIZE_RUN'!H56</f>
        <v>1</v>
      </c>
      <c r="C2065" s="14" t="s">
        <v>219</v>
      </c>
      <c r="D2065" s="0" t="n">
        <f aca="false">'02 SIZE_RUN'!I56</f>
        <v>2</v>
      </c>
      <c r="E2065" s="14" t="s">
        <v>220</v>
      </c>
      <c r="F2065" s="0" t="n">
        <f aca="false">'02 SIZE_RUN'!J56</f>
        <v>4</v>
      </c>
      <c r="G2065" s="14" t="s">
        <v>221</v>
      </c>
      <c r="H2065" s="0" t="n">
        <f aca="false">'02 SIZE_RUN'!K56</f>
        <v>12</v>
      </c>
    </row>
    <row r="2066" customFormat="false" ht="18" hidden="false" customHeight="true" outlineLevel="0" collapsed="false">
      <c r="A2066" s="14" t="s">
        <v>222</v>
      </c>
      <c r="B2066" s="0" t="n">
        <f aca="false">'02 SIZE_RUN'!L56</f>
        <v>11</v>
      </c>
      <c r="C2066" s="14" t="s">
        <v>223</v>
      </c>
      <c r="D2066" s="0" t="n">
        <f aca="false">'02 SIZE_RUN'!M56</f>
        <v>22</v>
      </c>
      <c r="E2066" s="14" t="s">
        <v>224</v>
      </c>
      <c r="F2066" s="0" t="n">
        <f aca="false">'02 SIZE_RUN'!N56</f>
        <v>49</v>
      </c>
      <c r="G2066" s="14" t="s">
        <v>225</v>
      </c>
      <c r="H2066" s="0" t="n">
        <f aca="false">'02 SIZE_RUN'!O56</f>
        <v>34</v>
      </c>
    </row>
    <row r="2067" customFormat="false" ht="18" hidden="false" customHeight="true" outlineLevel="0" collapsed="false">
      <c r="A2067" s="14" t="s">
        <v>226</v>
      </c>
      <c r="B2067" s="0" t="n">
        <f aca="false">'02 SIZE_RUN'!P56</f>
        <v>42</v>
      </c>
      <c r="C2067" s="14" t="s">
        <v>227</v>
      </c>
      <c r="D2067" s="0" t="n">
        <f aca="false">'02 SIZE_RUN'!Q56</f>
        <v>41</v>
      </c>
      <c r="E2067" s="14" t="s">
        <v>228</v>
      </c>
      <c r="F2067" s="0" t="n">
        <f aca="false">'02 SIZE_RUN'!R56</f>
        <v>25</v>
      </c>
      <c r="G2067" s="14" t="s">
        <v>229</v>
      </c>
      <c r="H2067" s="0" t="n">
        <f aca="false">'02 SIZE_RUN'!S56</f>
        <v>25</v>
      </c>
    </row>
    <row r="2068" customFormat="false" ht="18" hidden="false" customHeight="true" outlineLevel="0" collapsed="false">
      <c r="A2068" s="14" t="s">
        <v>230</v>
      </c>
      <c r="B2068" s="0" t="n">
        <f aca="false">'02 SIZE_RUN'!T56</f>
        <v>21</v>
      </c>
      <c r="C2068" s="14" t="s">
        <v>231</v>
      </c>
      <c r="D2068" s="0" t="n">
        <f aca="false">'02 SIZE_RUN'!U56</f>
        <v>4</v>
      </c>
      <c r="E2068" s="14" t="s">
        <v>232</v>
      </c>
      <c r="F2068" s="0" t="n">
        <f aca="false">'02 SIZE_RUN'!V56</f>
        <v>9</v>
      </c>
      <c r="G2068" s="14" t="s">
        <v>233</v>
      </c>
      <c r="H2068" s="0" t="n">
        <f aca="false">'02 SIZE_RUN'!W56</f>
        <v>6</v>
      </c>
    </row>
    <row r="2069" customFormat="false" ht="18" hidden="false" customHeight="true" outlineLevel="0" collapsed="false">
      <c r="A2069" s="14" t="s">
        <v>234</v>
      </c>
      <c r="B2069" s="0" t="n">
        <f aca="false">'02 SIZE_RUN'!X56</f>
        <v>0</v>
      </c>
      <c r="C2069" s="14" t="s">
        <v>235</v>
      </c>
      <c r="D2069" s="0" t="n">
        <f aca="false">'02 SIZE_RUN'!Y56</f>
        <v>1</v>
      </c>
      <c r="E2069" s="14" t="s">
        <v>236</v>
      </c>
      <c r="F2069" s="0" t="n">
        <f aca="false">'02 SIZE_RUN'!Z56</f>
        <v>0</v>
      </c>
      <c r="G2069" s="14" t="s">
        <v>237</v>
      </c>
      <c r="H2069" s="0" t="n">
        <f aca="false">'02 SIZE_RUN'!AA56</f>
        <v>0</v>
      </c>
    </row>
    <row r="2070" customFormat="false" ht="18" hidden="false" customHeight="true" outlineLevel="0" collapsed="false">
      <c r="A2070" s="14" t="s">
        <v>238</v>
      </c>
      <c r="B2070" s="0" t="n">
        <f aca="false">'02 SIZE_RUN'!AB56</f>
        <v>0</v>
      </c>
      <c r="C2070" s="14" t="s">
        <v>239</v>
      </c>
      <c r="D2070" s="0" t="n">
        <f aca="false">'02 SIZE_RUN'!AC56</f>
        <v>0</v>
      </c>
      <c r="E2070" s="14" t="s">
        <v>240</v>
      </c>
      <c r="F2070" s="0" t="n">
        <f aca="false">'02 SIZE_RUN'!AD56</f>
        <v>0</v>
      </c>
      <c r="G2070" s="14" t="s">
        <v>241</v>
      </c>
      <c r="H2070" s="0" t="n">
        <f aca="false">'02 SIZE_RUN'!AE56</f>
        <v>0</v>
      </c>
    </row>
    <row r="2071" customFormat="false" ht="18" hidden="false" customHeight="true" outlineLevel="0" collapsed="false">
      <c r="A2071" s="14" t="s">
        <v>242</v>
      </c>
      <c r="B2071" s="0" t="n">
        <f aca="false">'02 SIZE_RUN'!AF56</f>
        <v>0</v>
      </c>
    </row>
    <row r="2072" customFormat="false" ht="18" hidden="false" customHeight="true" outlineLevel="0" collapsed="false">
      <c r="A2072" s="10" t="str">
        <f aca="false">"TOTAL SIZE: "&amp;'02 SIZE_RUN'!AG56&amp;" | SELISIH: "&amp;'02 SIZE_RUN'!AH56</f>
        <v>TOTAL SIZE: 315 | SELISIH: 0</v>
      </c>
      <c r="B2072" s="10"/>
      <c r="C2072" s="10"/>
      <c r="D2072" s="10"/>
      <c r="E2072" s="10"/>
      <c r="F2072" s="10"/>
      <c r="G2072" s="10"/>
      <c r="H2072" s="10"/>
    </row>
    <row r="2073" customFormat="false" ht="18" hidden="false" customHeight="true" outlineLevel="0" collapsed="false">
      <c r="A2073" s="10" t="s">
        <v>255</v>
      </c>
      <c r="B2073" s="10"/>
      <c r="C2073" s="10"/>
      <c r="D2073" s="13" t="str">
        <f aca="false">IF('01 ADMIN_ORDER'!P56="","BELUM DITETAPKAN",TEXT('01 ADMIN_ORDER'!P56,"dd mmm yyyy"))</f>
        <v>BELUM DITETAPKAN</v>
      </c>
      <c r="E2073" s="13"/>
      <c r="F2073" s="13"/>
      <c r="G2073" s="13"/>
      <c r="H2073" s="13"/>
    </row>
    <row r="2074" customFormat="false" ht="18" hidden="false" customHeight="true" outlineLevel="0" collapsed="false">
      <c r="A2074" s="10" t="s">
        <v>256</v>
      </c>
      <c r="B2074" s="10"/>
      <c r="C2074" s="10"/>
      <c r="D2074" s="13" t="str">
        <f aca="false">IF('01 ADMIN_ORDER'!Q56="","BELUM DITETAPKAN",TEXT('01 ADMIN_ORDER'!Q56,"dd mmm yyyy"))</f>
        <v>BELUM DITETAPKAN</v>
      </c>
      <c r="E2074" s="13"/>
      <c r="F2074" s="13"/>
      <c r="G2074" s="13"/>
      <c r="H2074" s="13"/>
    </row>
    <row r="2075" customFormat="false" ht="25.5" hidden="false" customHeight="true" outlineLevel="0" collapsed="false">
      <c r="A2075" s="12" t="str">
        <f aca="false">"REFERENSI ASSEMBLY (bukan target upper): "&amp;TEXT('01 ADMIN_ORDER'!M56,"dd mmm yyyy")&amp;" - "&amp;TEXT('01 ADMIN_ORDER'!N56,"dd mmm yyyy")</f>
        <v>REFERENSI ASSEMBLY (bukan target upper): 19 Oct 2026 - 19 Oct 2026</v>
      </c>
      <c r="B2075" s="12"/>
      <c r="C2075" s="12"/>
      <c r="D2075" s="12"/>
      <c r="E2075" s="12"/>
      <c r="F2075" s="12"/>
      <c r="G2075" s="12"/>
      <c r="H2075" s="12"/>
    </row>
    <row r="2076" customFormat="false" ht="18" hidden="false" customHeight="true" outlineLevel="0" collapsed="false">
      <c r="A2076" s="10" t="s">
        <v>257</v>
      </c>
      <c r="B2076" s="10"/>
      <c r="C2076" s="10"/>
      <c r="D2076" s="13" t="str">
        <f aca="false">IF('04 KESIAPAN'!G56="","BELUM DIISI",'04 KESIAPAN'!G56)</f>
        <v>BELUM DIISI</v>
      </c>
      <c r="E2076" s="13"/>
      <c r="F2076" s="13"/>
      <c r="G2076" s="13"/>
      <c r="H2076" s="13"/>
    </row>
    <row r="2077" customFormat="false" ht="18" hidden="false" customHeight="true" outlineLevel="0" collapsed="false">
      <c r="A2077" s="10" t="s">
        <v>258</v>
      </c>
      <c r="B2077" s="10"/>
      <c r="C2077" s="10"/>
      <c r="D2077" s="13" t="str">
        <f aca="false">IF('04 KESIAPAN'!H56="","BELUM DIISI",'04 KESIAPAN'!H56)</f>
        <v>BELUM DIISI</v>
      </c>
      <c r="E2077" s="13"/>
      <c r="F2077" s="13"/>
      <c r="G2077" s="13"/>
      <c r="H2077" s="13"/>
    </row>
    <row r="2078" customFormat="false" ht="18" hidden="false" customHeight="true" outlineLevel="0" collapsed="false">
      <c r="A2078" s="10" t="s">
        <v>259</v>
      </c>
      <c r="B2078" s="10"/>
      <c r="C2078" s="10"/>
      <c r="D2078" s="13" t="str">
        <f aca="false">IF('04 KESIAPAN'!I56="","BELUM DIISI",'04 KESIAPAN'!I56)</f>
        <v>BELUM DIISI</v>
      </c>
      <c r="E2078" s="13"/>
      <c r="F2078" s="13"/>
      <c r="G2078" s="13"/>
      <c r="H2078" s="13"/>
    </row>
    <row r="2079" customFormat="false" ht="18" hidden="false" customHeight="true" outlineLevel="0" collapsed="false">
      <c r="A2079" s="10" t="s">
        <v>260</v>
      </c>
      <c r="B2079" s="10"/>
      <c r="C2079" s="10"/>
      <c r="D2079" s="13" t="str">
        <f aca="false">IF('04 KESIAPAN'!K56="","BELUM DIISI",'04 KESIAPAN'!K56)</f>
        <v>BELUM DIISI</v>
      </c>
      <c r="E2079" s="13"/>
      <c r="F2079" s="13"/>
      <c r="G2079" s="13"/>
      <c r="H2079" s="13"/>
    </row>
    <row r="2080" customFormat="false" ht="18" hidden="false" customHeight="true" outlineLevel="0" collapsed="false">
      <c r="A2080" s="10" t="s">
        <v>261</v>
      </c>
      <c r="B2080" s="10"/>
      <c r="C2080" s="10"/>
      <c r="D2080" s="13" t="str">
        <f aca="false">IF('04 KESIAPAN'!L56="","BELUM DIISI",'04 KESIAPAN'!L56)</f>
        <v>BELUM DIISI</v>
      </c>
      <c r="E2080" s="13"/>
      <c r="F2080" s="13"/>
      <c r="G2080" s="13"/>
      <c r="H2080" s="13"/>
    </row>
    <row r="2081" customFormat="false" ht="18" hidden="false" customHeight="true" outlineLevel="0" collapsed="false">
      <c r="A2081" s="10" t="s">
        <v>262</v>
      </c>
      <c r="B2081" s="10"/>
      <c r="C2081" s="10"/>
      <c r="D2081" s="13" t="str">
        <f aca="false">IF('04 KESIAPAN'!N56="","BELUM DIISI",'04 KESIAPAN'!N56)</f>
        <v>BELUM DIISI</v>
      </c>
      <c r="E2081" s="13"/>
      <c r="F2081" s="13"/>
      <c r="G2081" s="13"/>
      <c r="H2081" s="13"/>
    </row>
    <row r="2082" customFormat="false" ht="18" hidden="false" customHeight="true" outlineLevel="0" collapsed="false">
      <c r="A2082" s="10" t="s">
        <v>263</v>
      </c>
      <c r="B2082" s="10"/>
      <c r="C2082" s="10"/>
      <c r="D2082" s="13" t="str">
        <f aca="false">IF('04 KESIAPAN'!P56="","BELUM DIISI",'04 KESIAPAN'!P56)</f>
        <v>BELUM DIISI</v>
      </c>
      <c r="E2082" s="13"/>
      <c r="F2082" s="13"/>
      <c r="G2082" s="13"/>
      <c r="H2082" s="13"/>
    </row>
    <row r="2083" customFormat="false" ht="18" hidden="false" customHeight="true" outlineLevel="0" collapsed="false">
      <c r="A2083" s="7" t="s">
        <v>264</v>
      </c>
      <c r="B2083" s="7"/>
      <c r="C2083" s="7"/>
      <c r="D2083" s="7"/>
      <c r="E2083" s="7"/>
      <c r="F2083" s="7"/>
      <c r="G2083" s="7"/>
      <c r="H2083" s="7"/>
    </row>
    <row r="2084" customFormat="false" ht="18" hidden="false" customHeight="true" outlineLevel="0" collapsed="false">
      <c r="A2084" s="13"/>
      <c r="B2084" s="13"/>
      <c r="C2084" s="13"/>
      <c r="D2084" s="13"/>
      <c r="E2084" s="13"/>
      <c r="F2084" s="13"/>
      <c r="G2084" s="13"/>
      <c r="H2084" s="13"/>
    </row>
    <row r="2085" customFormat="false" ht="18" hidden="false" customHeight="true" outlineLevel="0" collapsed="false">
      <c r="A2085" s="13"/>
      <c r="B2085" s="13"/>
      <c r="C2085" s="13"/>
      <c r="D2085" s="13"/>
      <c r="E2085" s="13"/>
      <c r="F2085" s="13"/>
      <c r="G2085" s="13"/>
      <c r="H2085" s="13"/>
    </row>
    <row r="2086" customFormat="false" ht="18" hidden="false" customHeight="true" outlineLevel="0" collapsed="false">
      <c r="A2086" s="13"/>
      <c r="B2086" s="13"/>
      <c r="C2086" s="13"/>
      <c r="D2086" s="13"/>
      <c r="E2086" s="13"/>
      <c r="F2086" s="13"/>
      <c r="G2086" s="13"/>
      <c r="H2086" s="13"/>
    </row>
    <row r="2087" customFormat="false" ht="18" hidden="false" customHeight="true" outlineLevel="0" collapsed="false">
      <c r="A2087" s="12" t="s">
        <v>265</v>
      </c>
      <c r="B2087" s="12"/>
      <c r="C2087" s="12"/>
      <c r="D2087" s="12"/>
      <c r="E2087" s="12" t="s">
        <v>266</v>
      </c>
      <c r="F2087" s="12"/>
      <c r="G2087" s="12"/>
      <c r="H2087" s="12"/>
    </row>
    <row r="2088" customFormat="false" ht="18" hidden="false" customHeight="true" outlineLevel="0" collapsed="false">
      <c r="A2088" s="12" t="s">
        <v>321</v>
      </c>
      <c r="B2088" s="12"/>
      <c r="C2088" s="12"/>
      <c r="D2088" s="12"/>
      <c r="E2088" s="12"/>
      <c r="F2088" s="12"/>
      <c r="G2088" s="12"/>
      <c r="H2088" s="12"/>
    </row>
    <row r="2089" customFormat="false" ht="18" hidden="false" customHeight="true" outlineLevel="0" collapsed="false"/>
    <row r="2090" customFormat="false" ht="18" hidden="false" customHeight="true" outlineLevel="0" collapsed="false"/>
    <row r="2091" customFormat="false" ht="25.5" hidden="false" customHeight="true" outlineLevel="0" collapsed="false">
      <c r="A2091" s="7" t="s">
        <v>246</v>
      </c>
      <c r="B2091" s="7"/>
      <c r="C2091" s="7"/>
      <c r="D2091" s="7"/>
      <c r="E2091" s="7"/>
      <c r="F2091" s="7"/>
      <c r="G2091" s="7"/>
      <c r="H2091" s="7"/>
    </row>
    <row r="2092" customFormat="false" ht="18" hidden="false" customHeight="true" outlineLevel="0" collapsed="false">
      <c r="A2092" s="8" t="str">
        <f aca="false">'01 ADMIN_ORDER'!R57</f>
        <v>DRAFT - PERLU VERIFIKASI</v>
      </c>
      <c r="B2092" s="8"/>
      <c r="C2092" s="8"/>
      <c r="D2092" s="8"/>
      <c r="E2092" s="8"/>
      <c r="F2092" s="8"/>
      <c r="G2092" s="8"/>
      <c r="H2092" s="8"/>
    </row>
    <row r="2093" customFormat="false" ht="18" hidden="false" customHeight="true" outlineLevel="0" collapsed="false">
      <c r="A2093" s="9" t="s">
        <v>247</v>
      </c>
      <c r="B2093" s="9"/>
      <c r="C2093" s="9"/>
      <c r="D2093" s="9"/>
      <c r="E2093" s="9"/>
      <c r="F2093" s="9"/>
      <c r="G2093" s="9"/>
      <c r="H2093" s="9"/>
    </row>
    <row r="2094" customFormat="false" ht="18" hidden="false" customHeight="true" outlineLevel="0" collapsed="false">
      <c r="A2094" s="10" t="s">
        <v>248</v>
      </c>
      <c r="B2094" s="10"/>
      <c r="C2094" s="11" t="str">
        <f aca="false">'01 ADMIN_ORDER'!A57</f>
        <v>192/10/56 (59)</v>
      </c>
      <c r="D2094" s="11"/>
      <c r="E2094" s="11"/>
      <c r="F2094" s="11"/>
      <c r="G2094" s="11"/>
      <c r="H2094" s="11"/>
    </row>
    <row r="2095" customFormat="false" ht="18" hidden="false" customHeight="true" outlineLevel="0" collapsed="false">
      <c r="A2095" s="10" t="s">
        <v>249</v>
      </c>
      <c r="B2095" s="10"/>
      <c r="C2095" s="12" t="str">
        <f aca="false">'01 ADMIN_ORDER'!C57&amp;" / "&amp;'01 ADMIN_ORDER'!D57</f>
        <v>FRONTCOURT LOW / LA6607</v>
      </c>
      <c r="D2095" s="12"/>
      <c r="E2095" s="12"/>
      <c r="F2095" s="12"/>
      <c r="G2095" s="12"/>
      <c r="H2095" s="12"/>
    </row>
    <row r="2096" customFormat="false" ht="18" hidden="false" customHeight="true" outlineLevel="0" collapsed="false">
      <c r="A2096" s="10" t="s">
        <v>250</v>
      </c>
      <c r="B2096" s="10"/>
      <c r="C2096" s="12" t="str">
        <f aca="false">'01 ADMIN_ORDER'!E57</f>
        <v>903513830 (FGT)</v>
      </c>
      <c r="D2096" s="12"/>
      <c r="E2096" s="12"/>
      <c r="F2096" s="12"/>
      <c r="G2096" s="12"/>
      <c r="H2096" s="12"/>
    </row>
    <row r="2097" customFormat="false" ht="27.75" hidden="false" customHeight="true" outlineLevel="0" collapsed="false">
      <c r="A2097" s="10" t="s">
        <v>251</v>
      </c>
      <c r="B2097" s="10"/>
      <c r="C2097" s="12" t="str">
        <f aca="false">'01 ADMIN_ORDER'!H57</f>
        <v>FTWR WHITE/FTWR WHITE/GREY TWO</v>
      </c>
      <c r="D2097" s="12"/>
      <c r="E2097" s="12"/>
      <c r="F2097" s="12"/>
      <c r="G2097" s="12"/>
      <c r="H2097" s="12"/>
    </row>
    <row r="2098" customFormat="false" ht="18" hidden="false" customHeight="true" outlineLevel="0" collapsed="false">
      <c r="A2098" s="10" t="s">
        <v>252</v>
      </c>
      <c r="B2098" s="10"/>
      <c r="C2098" s="12" t="str">
        <f aca="false">'01 ADMIN_ORDER'!B57&amp;" / "&amp;'01 ADMIN_ORDER'!G57</f>
        <v>B-19 / Germany</v>
      </c>
      <c r="D2098" s="12"/>
      <c r="E2098" s="12"/>
      <c r="F2098" s="12"/>
      <c r="G2098" s="12"/>
      <c r="H2098" s="12"/>
    </row>
    <row r="2099" customFormat="false" ht="18" hidden="false" customHeight="true" outlineLevel="0" collapsed="false">
      <c r="A2099" s="10" t="s">
        <v>253</v>
      </c>
      <c r="B2099" s="10"/>
      <c r="C2099" s="13" t="str">
        <f aca="false">'01 ADMIN_ORDER'!I57&amp;" / "&amp;IF('04 KESIAPAN'!B57="","UOM BELUM DIISI",'04 KESIAPAN'!B57)</f>
        <v>9 / UOM BELUM DIISI</v>
      </c>
      <c r="D2099" s="13"/>
      <c r="E2099" s="13"/>
      <c r="F2099" s="13"/>
      <c r="G2099" s="13"/>
      <c r="H2099" s="13"/>
    </row>
    <row r="2100" customFormat="false" ht="18" hidden="false" customHeight="true" outlineLevel="0" collapsed="false">
      <c r="A2100" s="13" t="str">
        <f aca="false">IF('04 KESIAPAN'!C57="","SISTEM UKURAN BELUM DIISI",'04 KESIAPAN'!C57)&amp;" | Tanda -: "&amp;IF('04 KESIAPAN'!D57="","BELUM DIKONFIRMASI",'04 KESIAPAN'!D57)</f>
        <v>SISTEM UKURAN BELUM DIISI | Tanda -: BELUM DIKONFIRMASI</v>
      </c>
      <c r="B2100" s="13"/>
      <c r="C2100" s="13"/>
      <c r="D2100" s="13"/>
      <c r="E2100" s="13"/>
      <c r="F2100" s="13"/>
      <c r="G2100" s="13"/>
      <c r="H2100" s="13"/>
    </row>
    <row r="2101" customFormat="false" ht="18" hidden="false" customHeight="true" outlineLevel="0" collapsed="false">
      <c r="A2101" s="7" t="s">
        <v>254</v>
      </c>
      <c r="B2101" s="7"/>
      <c r="C2101" s="7"/>
      <c r="D2101" s="7"/>
      <c r="E2101" s="7"/>
      <c r="F2101" s="7"/>
      <c r="G2101" s="7"/>
      <c r="H2101" s="7"/>
    </row>
    <row r="2102" customFormat="false" ht="18" hidden="false" customHeight="true" outlineLevel="0" collapsed="false">
      <c r="A2102" s="14" t="s">
        <v>214</v>
      </c>
      <c r="B2102" s="0" t="n">
        <f aca="false">'02 SIZE_RUN'!D57</f>
        <v>0</v>
      </c>
      <c r="C2102" s="14" t="s">
        <v>215</v>
      </c>
      <c r="D2102" s="0" t="n">
        <f aca="false">'02 SIZE_RUN'!E57</f>
        <v>0</v>
      </c>
      <c r="E2102" s="14" t="s">
        <v>216</v>
      </c>
      <c r="F2102" s="0" t="n">
        <f aca="false">'02 SIZE_RUN'!F57</f>
        <v>0</v>
      </c>
      <c r="G2102" s="14" t="s">
        <v>217</v>
      </c>
      <c r="H2102" s="0" t="n">
        <f aca="false">'02 SIZE_RUN'!G57</f>
        <v>0</v>
      </c>
    </row>
    <row r="2103" customFormat="false" ht="18" hidden="false" customHeight="true" outlineLevel="0" collapsed="false">
      <c r="A2103" s="14" t="s">
        <v>218</v>
      </c>
      <c r="B2103" s="0" t="n">
        <f aca="false">'02 SIZE_RUN'!H57</f>
        <v>0</v>
      </c>
      <c r="C2103" s="14" t="s">
        <v>219</v>
      </c>
      <c r="D2103" s="0" t="n">
        <f aca="false">'02 SIZE_RUN'!I57</f>
        <v>0</v>
      </c>
      <c r="E2103" s="14" t="s">
        <v>220</v>
      </c>
      <c r="F2103" s="0" t="n">
        <f aca="false">'02 SIZE_RUN'!J57</f>
        <v>0</v>
      </c>
      <c r="G2103" s="14" t="s">
        <v>221</v>
      </c>
      <c r="H2103" s="0" t="n">
        <f aca="false">'02 SIZE_RUN'!K57</f>
        <v>0</v>
      </c>
    </row>
    <row r="2104" customFormat="false" ht="18" hidden="false" customHeight="true" outlineLevel="0" collapsed="false">
      <c r="A2104" s="14" t="s">
        <v>222</v>
      </c>
      <c r="B2104" s="0" t="n">
        <f aca="false">'02 SIZE_RUN'!L57</f>
        <v>0</v>
      </c>
      <c r="C2104" s="14" t="s">
        <v>223</v>
      </c>
      <c r="D2104" s="0" t="n">
        <f aca="false">'02 SIZE_RUN'!M57</f>
        <v>0</v>
      </c>
      <c r="E2104" s="14" t="s">
        <v>224</v>
      </c>
      <c r="F2104" s="0" t="n">
        <f aca="false">'02 SIZE_RUN'!N57</f>
        <v>0</v>
      </c>
      <c r="G2104" s="14" t="s">
        <v>225</v>
      </c>
      <c r="H2104" s="0" t="n">
        <f aca="false">'02 SIZE_RUN'!O57</f>
        <v>9</v>
      </c>
    </row>
    <row r="2105" customFormat="false" ht="18" hidden="false" customHeight="true" outlineLevel="0" collapsed="false">
      <c r="A2105" s="14" t="s">
        <v>226</v>
      </c>
      <c r="B2105" s="0" t="n">
        <f aca="false">'02 SIZE_RUN'!P57</f>
        <v>0</v>
      </c>
      <c r="C2105" s="14" t="s">
        <v>227</v>
      </c>
      <c r="D2105" s="0" t="n">
        <f aca="false">'02 SIZE_RUN'!Q57</f>
        <v>0</v>
      </c>
      <c r="E2105" s="14" t="s">
        <v>228</v>
      </c>
      <c r="F2105" s="0" t="n">
        <f aca="false">'02 SIZE_RUN'!R57</f>
        <v>0</v>
      </c>
      <c r="G2105" s="14" t="s">
        <v>229</v>
      </c>
      <c r="H2105" s="0" t="n">
        <f aca="false">'02 SIZE_RUN'!S57</f>
        <v>0</v>
      </c>
    </row>
    <row r="2106" customFormat="false" ht="18" hidden="false" customHeight="true" outlineLevel="0" collapsed="false">
      <c r="A2106" s="14" t="s">
        <v>230</v>
      </c>
      <c r="B2106" s="0" t="n">
        <f aca="false">'02 SIZE_RUN'!T57</f>
        <v>0</v>
      </c>
      <c r="C2106" s="14" t="s">
        <v>231</v>
      </c>
      <c r="D2106" s="0" t="n">
        <f aca="false">'02 SIZE_RUN'!U57</f>
        <v>0</v>
      </c>
      <c r="E2106" s="14" t="s">
        <v>232</v>
      </c>
      <c r="F2106" s="0" t="n">
        <f aca="false">'02 SIZE_RUN'!V57</f>
        <v>0</v>
      </c>
      <c r="G2106" s="14" t="s">
        <v>233</v>
      </c>
      <c r="H2106" s="0" t="n">
        <f aca="false">'02 SIZE_RUN'!W57</f>
        <v>0</v>
      </c>
    </row>
    <row r="2107" customFormat="false" ht="18" hidden="false" customHeight="true" outlineLevel="0" collapsed="false">
      <c r="A2107" s="14" t="s">
        <v>234</v>
      </c>
      <c r="B2107" s="0" t="n">
        <f aca="false">'02 SIZE_RUN'!X57</f>
        <v>0</v>
      </c>
      <c r="C2107" s="14" t="s">
        <v>235</v>
      </c>
      <c r="D2107" s="0" t="n">
        <f aca="false">'02 SIZE_RUN'!Y57</f>
        <v>0</v>
      </c>
      <c r="E2107" s="14" t="s">
        <v>236</v>
      </c>
      <c r="F2107" s="0" t="n">
        <f aca="false">'02 SIZE_RUN'!Z57</f>
        <v>0</v>
      </c>
      <c r="G2107" s="14" t="s">
        <v>237</v>
      </c>
      <c r="H2107" s="0" t="n">
        <f aca="false">'02 SIZE_RUN'!AA57</f>
        <v>0</v>
      </c>
    </row>
    <row r="2108" customFormat="false" ht="18" hidden="false" customHeight="true" outlineLevel="0" collapsed="false">
      <c r="A2108" s="14" t="s">
        <v>238</v>
      </c>
      <c r="B2108" s="0" t="n">
        <f aca="false">'02 SIZE_RUN'!AB57</f>
        <v>0</v>
      </c>
      <c r="C2108" s="14" t="s">
        <v>239</v>
      </c>
      <c r="D2108" s="0" t="n">
        <f aca="false">'02 SIZE_RUN'!AC57</f>
        <v>0</v>
      </c>
      <c r="E2108" s="14" t="s">
        <v>240</v>
      </c>
      <c r="F2108" s="0" t="n">
        <f aca="false">'02 SIZE_RUN'!AD57</f>
        <v>0</v>
      </c>
      <c r="G2108" s="14" t="s">
        <v>241</v>
      </c>
      <c r="H2108" s="0" t="n">
        <f aca="false">'02 SIZE_RUN'!AE57</f>
        <v>0</v>
      </c>
    </row>
    <row r="2109" customFormat="false" ht="18" hidden="false" customHeight="true" outlineLevel="0" collapsed="false">
      <c r="A2109" s="14" t="s">
        <v>242</v>
      </c>
      <c r="B2109" s="0" t="n">
        <f aca="false">'02 SIZE_RUN'!AF57</f>
        <v>0</v>
      </c>
    </row>
    <row r="2110" customFormat="false" ht="18" hidden="false" customHeight="true" outlineLevel="0" collapsed="false">
      <c r="A2110" s="10" t="str">
        <f aca="false">"TOTAL SIZE: "&amp;'02 SIZE_RUN'!AG57&amp;" | SELISIH: "&amp;'02 SIZE_RUN'!AH57</f>
        <v>TOTAL SIZE: 9 | SELISIH: 0</v>
      </c>
      <c r="B2110" s="10"/>
      <c r="C2110" s="10"/>
      <c r="D2110" s="10"/>
      <c r="E2110" s="10"/>
      <c r="F2110" s="10"/>
      <c r="G2110" s="10"/>
      <c r="H2110" s="10"/>
    </row>
    <row r="2111" customFormat="false" ht="18" hidden="false" customHeight="true" outlineLevel="0" collapsed="false">
      <c r="A2111" s="10" t="s">
        <v>255</v>
      </c>
      <c r="B2111" s="10"/>
      <c r="C2111" s="10"/>
      <c r="D2111" s="13" t="str">
        <f aca="false">IF('01 ADMIN_ORDER'!P57="","BELUM DITETAPKAN",TEXT('01 ADMIN_ORDER'!P57,"dd mmm yyyy"))</f>
        <v>BELUM DITETAPKAN</v>
      </c>
      <c r="E2111" s="13"/>
      <c r="F2111" s="13"/>
      <c r="G2111" s="13"/>
      <c r="H2111" s="13"/>
    </row>
    <row r="2112" customFormat="false" ht="18" hidden="false" customHeight="true" outlineLevel="0" collapsed="false">
      <c r="A2112" s="10" t="s">
        <v>256</v>
      </c>
      <c r="B2112" s="10"/>
      <c r="C2112" s="10"/>
      <c r="D2112" s="13" t="str">
        <f aca="false">IF('01 ADMIN_ORDER'!Q57="","BELUM DITETAPKAN",TEXT('01 ADMIN_ORDER'!Q57,"dd mmm yyyy"))</f>
        <v>BELUM DITETAPKAN</v>
      </c>
      <c r="E2112" s="13"/>
      <c r="F2112" s="13"/>
      <c r="G2112" s="13"/>
      <c r="H2112" s="13"/>
    </row>
    <row r="2113" customFormat="false" ht="25.5" hidden="false" customHeight="true" outlineLevel="0" collapsed="false">
      <c r="A2113" s="12" t="str">
        <f aca="false">"REFERENSI ASSEMBLY (bukan target upper): "&amp;TEXT('01 ADMIN_ORDER'!M57,"dd mmm yyyy")&amp;" - "&amp;TEXT('01 ADMIN_ORDER'!N57,"dd mmm yyyy")</f>
        <v>REFERENSI ASSEMBLY (bukan target upper): 19 Oct 2026 - 19 Oct 2026</v>
      </c>
      <c r="B2113" s="12"/>
      <c r="C2113" s="12"/>
      <c r="D2113" s="12"/>
      <c r="E2113" s="12"/>
      <c r="F2113" s="12"/>
      <c r="G2113" s="12"/>
      <c r="H2113" s="12"/>
    </row>
    <row r="2114" customFormat="false" ht="18" hidden="false" customHeight="true" outlineLevel="0" collapsed="false">
      <c r="A2114" s="10" t="s">
        <v>257</v>
      </c>
      <c r="B2114" s="10"/>
      <c r="C2114" s="10"/>
      <c r="D2114" s="13" t="str">
        <f aca="false">IF('04 KESIAPAN'!G57="","BELUM DIISI",'04 KESIAPAN'!G57)</f>
        <v>BELUM DIISI</v>
      </c>
      <c r="E2114" s="13"/>
      <c r="F2114" s="13"/>
      <c r="G2114" s="13"/>
      <c r="H2114" s="13"/>
    </row>
    <row r="2115" customFormat="false" ht="18" hidden="false" customHeight="true" outlineLevel="0" collapsed="false">
      <c r="A2115" s="10" t="s">
        <v>258</v>
      </c>
      <c r="B2115" s="10"/>
      <c r="C2115" s="10"/>
      <c r="D2115" s="13" t="str">
        <f aca="false">IF('04 KESIAPAN'!H57="","BELUM DIISI",'04 KESIAPAN'!H57)</f>
        <v>BELUM DIISI</v>
      </c>
      <c r="E2115" s="13"/>
      <c r="F2115" s="13"/>
      <c r="G2115" s="13"/>
      <c r="H2115" s="13"/>
    </row>
    <row r="2116" customFormat="false" ht="18" hidden="false" customHeight="true" outlineLevel="0" collapsed="false">
      <c r="A2116" s="10" t="s">
        <v>259</v>
      </c>
      <c r="B2116" s="10"/>
      <c r="C2116" s="10"/>
      <c r="D2116" s="13" t="str">
        <f aca="false">IF('04 KESIAPAN'!I57="","BELUM DIISI",'04 KESIAPAN'!I57)</f>
        <v>BELUM DIISI</v>
      </c>
      <c r="E2116" s="13"/>
      <c r="F2116" s="13"/>
      <c r="G2116" s="13"/>
      <c r="H2116" s="13"/>
    </row>
    <row r="2117" customFormat="false" ht="18" hidden="false" customHeight="true" outlineLevel="0" collapsed="false">
      <c r="A2117" s="10" t="s">
        <v>260</v>
      </c>
      <c r="B2117" s="10"/>
      <c r="C2117" s="10"/>
      <c r="D2117" s="13" t="str">
        <f aca="false">IF('04 KESIAPAN'!K57="","BELUM DIISI",'04 KESIAPAN'!K57)</f>
        <v>BELUM DIISI</v>
      </c>
      <c r="E2117" s="13"/>
      <c r="F2117" s="13"/>
      <c r="G2117" s="13"/>
      <c r="H2117" s="13"/>
    </row>
    <row r="2118" customFormat="false" ht="18" hidden="false" customHeight="true" outlineLevel="0" collapsed="false">
      <c r="A2118" s="10" t="s">
        <v>261</v>
      </c>
      <c r="B2118" s="10"/>
      <c r="C2118" s="10"/>
      <c r="D2118" s="13" t="str">
        <f aca="false">IF('04 KESIAPAN'!L57="","BELUM DIISI",'04 KESIAPAN'!L57)</f>
        <v>BELUM DIISI</v>
      </c>
      <c r="E2118" s="13"/>
      <c r="F2118" s="13"/>
      <c r="G2118" s="13"/>
      <c r="H2118" s="13"/>
    </row>
    <row r="2119" customFormat="false" ht="18" hidden="false" customHeight="true" outlineLevel="0" collapsed="false">
      <c r="A2119" s="10" t="s">
        <v>262</v>
      </c>
      <c r="B2119" s="10"/>
      <c r="C2119" s="10"/>
      <c r="D2119" s="13" t="str">
        <f aca="false">IF('04 KESIAPAN'!N57="","BELUM DIISI",'04 KESIAPAN'!N57)</f>
        <v>BELUM DIISI</v>
      </c>
      <c r="E2119" s="13"/>
      <c r="F2119" s="13"/>
      <c r="G2119" s="13"/>
      <c r="H2119" s="13"/>
    </row>
    <row r="2120" customFormat="false" ht="18" hidden="false" customHeight="true" outlineLevel="0" collapsed="false">
      <c r="A2120" s="10" t="s">
        <v>263</v>
      </c>
      <c r="B2120" s="10"/>
      <c r="C2120" s="10"/>
      <c r="D2120" s="13" t="str">
        <f aca="false">IF('04 KESIAPAN'!P57="","BELUM DIISI",'04 KESIAPAN'!P57)</f>
        <v>BELUM DIISI</v>
      </c>
      <c r="E2120" s="13"/>
      <c r="F2120" s="13"/>
      <c r="G2120" s="13"/>
      <c r="H2120" s="13"/>
    </row>
    <row r="2121" customFormat="false" ht="18" hidden="false" customHeight="true" outlineLevel="0" collapsed="false">
      <c r="A2121" s="7" t="s">
        <v>264</v>
      </c>
      <c r="B2121" s="7"/>
      <c r="C2121" s="7"/>
      <c r="D2121" s="7"/>
      <c r="E2121" s="7"/>
      <c r="F2121" s="7"/>
      <c r="G2121" s="7"/>
      <c r="H2121" s="7"/>
    </row>
    <row r="2122" customFormat="false" ht="18" hidden="false" customHeight="true" outlineLevel="0" collapsed="false">
      <c r="A2122" s="13"/>
      <c r="B2122" s="13"/>
      <c r="C2122" s="13"/>
      <c r="D2122" s="13"/>
      <c r="E2122" s="13"/>
      <c r="F2122" s="13"/>
      <c r="G2122" s="13"/>
      <c r="H2122" s="13"/>
    </row>
    <row r="2123" customFormat="false" ht="18" hidden="false" customHeight="true" outlineLevel="0" collapsed="false">
      <c r="A2123" s="13"/>
      <c r="B2123" s="13"/>
      <c r="C2123" s="13"/>
      <c r="D2123" s="13"/>
      <c r="E2123" s="13"/>
      <c r="F2123" s="13"/>
      <c r="G2123" s="13"/>
      <c r="H2123" s="13"/>
    </row>
    <row r="2124" customFormat="false" ht="18" hidden="false" customHeight="true" outlineLevel="0" collapsed="false">
      <c r="A2124" s="13"/>
      <c r="B2124" s="13"/>
      <c r="C2124" s="13"/>
      <c r="D2124" s="13"/>
      <c r="E2124" s="13"/>
      <c r="F2124" s="13"/>
      <c r="G2124" s="13"/>
      <c r="H2124" s="13"/>
    </row>
    <row r="2125" customFormat="false" ht="18" hidden="false" customHeight="true" outlineLevel="0" collapsed="false">
      <c r="A2125" s="12" t="s">
        <v>265</v>
      </c>
      <c r="B2125" s="12"/>
      <c r="C2125" s="12"/>
      <c r="D2125" s="12"/>
      <c r="E2125" s="12" t="s">
        <v>266</v>
      </c>
      <c r="F2125" s="12"/>
      <c r="G2125" s="12"/>
      <c r="H2125" s="12"/>
    </row>
    <row r="2126" customFormat="false" ht="18" hidden="false" customHeight="true" outlineLevel="0" collapsed="false">
      <c r="A2126" s="12" t="s">
        <v>322</v>
      </c>
      <c r="B2126" s="12"/>
      <c r="C2126" s="12"/>
      <c r="D2126" s="12"/>
      <c r="E2126" s="12"/>
      <c r="F2126" s="12"/>
      <c r="G2126" s="12"/>
      <c r="H2126" s="12"/>
    </row>
    <row r="2127" customFormat="false" ht="18" hidden="false" customHeight="true" outlineLevel="0" collapsed="false"/>
    <row r="2128" customFormat="false" ht="18" hidden="false" customHeight="true" outlineLevel="0" collapsed="false"/>
    <row r="2129" customFormat="false" ht="25.5" hidden="false" customHeight="true" outlineLevel="0" collapsed="false">
      <c r="A2129" s="7" t="s">
        <v>246</v>
      </c>
      <c r="B2129" s="7"/>
      <c r="C2129" s="7"/>
      <c r="D2129" s="7"/>
      <c r="E2129" s="7"/>
      <c r="F2129" s="7"/>
      <c r="G2129" s="7"/>
      <c r="H2129" s="7"/>
    </row>
    <row r="2130" customFormat="false" ht="18" hidden="false" customHeight="true" outlineLevel="0" collapsed="false">
      <c r="A2130" s="8" t="str">
        <f aca="false">'01 ADMIN_ORDER'!R58</f>
        <v>DRAFT - PERLU VERIFIKASI</v>
      </c>
      <c r="B2130" s="8"/>
      <c r="C2130" s="8"/>
      <c r="D2130" s="8"/>
      <c r="E2130" s="8"/>
      <c r="F2130" s="8"/>
      <c r="G2130" s="8"/>
      <c r="H2130" s="8"/>
    </row>
    <row r="2131" customFormat="false" ht="18" hidden="false" customHeight="true" outlineLevel="0" collapsed="false">
      <c r="A2131" s="9" t="s">
        <v>247</v>
      </c>
      <c r="B2131" s="9"/>
      <c r="C2131" s="9"/>
      <c r="D2131" s="9"/>
      <c r="E2131" s="9"/>
      <c r="F2131" s="9"/>
      <c r="G2131" s="9"/>
      <c r="H2131" s="9"/>
    </row>
    <row r="2132" customFormat="false" ht="18" hidden="false" customHeight="true" outlineLevel="0" collapsed="false">
      <c r="A2132" s="10" t="s">
        <v>248</v>
      </c>
      <c r="B2132" s="10"/>
      <c r="C2132" s="11" t="str">
        <f aca="false">'01 ADMIN_ORDER'!A58</f>
        <v>193/10/57 (59)</v>
      </c>
      <c r="D2132" s="11"/>
      <c r="E2132" s="11"/>
      <c r="F2132" s="11"/>
      <c r="G2132" s="11"/>
      <c r="H2132" s="11"/>
    </row>
    <row r="2133" customFormat="false" ht="18" hidden="false" customHeight="true" outlineLevel="0" collapsed="false">
      <c r="A2133" s="10" t="s">
        <v>249</v>
      </c>
      <c r="B2133" s="10"/>
      <c r="C2133" s="12" t="str">
        <f aca="false">'01 ADMIN_ORDER'!C58&amp;" / "&amp;'01 ADMIN_ORDER'!D58</f>
        <v>FRONTCOURT LOW / LA6607</v>
      </c>
      <c r="D2133" s="12"/>
      <c r="E2133" s="12"/>
      <c r="F2133" s="12"/>
      <c r="G2133" s="12"/>
      <c r="H2133" s="12"/>
    </row>
    <row r="2134" customFormat="false" ht="18" hidden="false" customHeight="true" outlineLevel="0" collapsed="false">
      <c r="A2134" s="10" t="s">
        <v>250</v>
      </c>
      <c r="B2134" s="10"/>
      <c r="C2134" s="12" t="str">
        <f aca="false">'01 ADMIN_ORDER'!E58</f>
        <v>903513902</v>
      </c>
      <c r="D2134" s="12"/>
      <c r="E2134" s="12"/>
      <c r="F2134" s="12"/>
      <c r="G2134" s="12"/>
      <c r="H2134" s="12"/>
    </row>
    <row r="2135" customFormat="false" ht="27.75" hidden="false" customHeight="true" outlineLevel="0" collapsed="false">
      <c r="A2135" s="10" t="s">
        <v>251</v>
      </c>
      <c r="B2135" s="10"/>
      <c r="C2135" s="12" t="str">
        <f aca="false">'01 ADMIN_ORDER'!H58</f>
        <v>FTWR WHITE/FTWR WHITE/GREY TWO</v>
      </c>
      <c r="D2135" s="12"/>
      <c r="E2135" s="12"/>
      <c r="F2135" s="12"/>
      <c r="G2135" s="12"/>
      <c r="H2135" s="12"/>
    </row>
    <row r="2136" customFormat="false" ht="18" hidden="false" customHeight="true" outlineLevel="0" collapsed="false">
      <c r="A2136" s="10" t="s">
        <v>252</v>
      </c>
      <c r="B2136" s="10"/>
      <c r="C2136" s="12" t="str">
        <f aca="false">'01 ADMIN_ORDER'!B58&amp;" / "&amp;'01 ADMIN_ORDER'!G58</f>
        <v>B-19 / Germany</v>
      </c>
      <c r="D2136" s="12"/>
      <c r="E2136" s="12"/>
      <c r="F2136" s="12"/>
      <c r="G2136" s="12"/>
      <c r="H2136" s="12"/>
    </row>
    <row r="2137" customFormat="false" ht="18" hidden="false" customHeight="true" outlineLevel="0" collapsed="false">
      <c r="A2137" s="10" t="s">
        <v>253</v>
      </c>
      <c r="B2137" s="10"/>
      <c r="C2137" s="13" t="str">
        <f aca="false">'01 ADMIN_ORDER'!I58&amp;" / "&amp;IF('04 KESIAPAN'!B58="","UOM BELUM DIISI",'04 KESIAPAN'!B58)</f>
        <v>2041 / UOM BELUM DIISI</v>
      </c>
      <c r="D2137" s="13"/>
      <c r="E2137" s="13"/>
      <c r="F2137" s="13"/>
      <c r="G2137" s="13"/>
      <c r="H2137" s="13"/>
    </row>
    <row r="2138" customFormat="false" ht="18" hidden="false" customHeight="true" outlineLevel="0" collapsed="false">
      <c r="A2138" s="13" t="str">
        <f aca="false">IF('04 KESIAPAN'!C58="","SISTEM UKURAN BELUM DIISI",'04 KESIAPAN'!C58)&amp;" | Tanda -: "&amp;IF('04 KESIAPAN'!D58="","BELUM DIKONFIRMASI",'04 KESIAPAN'!D58)</f>
        <v>SISTEM UKURAN BELUM DIISI | Tanda -: BELUM DIKONFIRMASI</v>
      </c>
      <c r="B2138" s="13"/>
      <c r="C2138" s="13"/>
      <c r="D2138" s="13"/>
      <c r="E2138" s="13"/>
      <c r="F2138" s="13"/>
      <c r="G2138" s="13"/>
      <c r="H2138" s="13"/>
    </row>
    <row r="2139" customFormat="false" ht="18" hidden="false" customHeight="true" outlineLevel="0" collapsed="false">
      <c r="A2139" s="7" t="s">
        <v>254</v>
      </c>
      <c r="B2139" s="7"/>
      <c r="C2139" s="7"/>
      <c r="D2139" s="7"/>
      <c r="E2139" s="7"/>
      <c r="F2139" s="7"/>
      <c r="G2139" s="7"/>
      <c r="H2139" s="7"/>
    </row>
    <row r="2140" customFormat="false" ht="18" hidden="false" customHeight="true" outlineLevel="0" collapsed="false">
      <c r="A2140" s="14" t="s">
        <v>214</v>
      </c>
      <c r="B2140" s="0" t="n">
        <f aca="false">'02 SIZE_RUN'!D58</f>
        <v>1</v>
      </c>
      <c r="C2140" s="14" t="s">
        <v>215</v>
      </c>
      <c r="D2140" s="0" t="n">
        <f aca="false">'02 SIZE_RUN'!E58</f>
        <v>12</v>
      </c>
      <c r="E2140" s="14" t="s">
        <v>216</v>
      </c>
      <c r="F2140" s="0" t="n">
        <f aca="false">'02 SIZE_RUN'!F58</f>
        <v>17</v>
      </c>
      <c r="G2140" s="14" t="s">
        <v>217</v>
      </c>
      <c r="H2140" s="0" t="n">
        <f aca="false">'02 SIZE_RUN'!G58</f>
        <v>43</v>
      </c>
    </row>
    <row r="2141" customFormat="false" ht="18" hidden="false" customHeight="true" outlineLevel="0" collapsed="false">
      <c r="A2141" s="14" t="s">
        <v>218</v>
      </c>
      <c r="B2141" s="0" t="n">
        <f aca="false">'02 SIZE_RUN'!H58</f>
        <v>75</v>
      </c>
      <c r="C2141" s="14" t="s">
        <v>219</v>
      </c>
      <c r="D2141" s="0" t="n">
        <f aca="false">'02 SIZE_RUN'!I58</f>
        <v>80</v>
      </c>
      <c r="E2141" s="14" t="s">
        <v>220</v>
      </c>
      <c r="F2141" s="0" t="n">
        <f aca="false">'02 SIZE_RUN'!J58</f>
        <v>140</v>
      </c>
      <c r="G2141" s="14" t="s">
        <v>221</v>
      </c>
      <c r="H2141" s="0" t="n">
        <f aca="false">'02 SIZE_RUN'!K58</f>
        <v>109</v>
      </c>
    </row>
    <row r="2142" customFormat="false" ht="18" hidden="false" customHeight="true" outlineLevel="0" collapsed="false">
      <c r="A2142" s="14" t="s">
        <v>222</v>
      </c>
      <c r="B2142" s="0" t="n">
        <f aca="false">'02 SIZE_RUN'!L58</f>
        <v>115</v>
      </c>
      <c r="C2142" s="14" t="s">
        <v>223</v>
      </c>
      <c r="D2142" s="0" t="n">
        <f aca="false">'02 SIZE_RUN'!M58</f>
        <v>114</v>
      </c>
      <c r="E2142" s="14" t="s">
        <v>224</v>
      </c>
      <c r="F2142" s="0" t="n">
        <f aca="false">'02 SIZE_RUN'!N58</f>
        <v>154</v>
      </c>
      <c r="G2142" s="14" t="s">
        <v>225</v>
      </c>
      <c r="H2142" s="0" t="n">
        <f aca="false">'02 SIZE_RUN'!O58</f>
        <v>169</v>
      </c>
    </row>
    <row r="2143" customFormat="false" ht="18" hidden="false" customHeight="true" outlineLevel="0" collapsed="false">
      <c r="A2143" s="14" t="s">
        <v>226</v>
      </c>
      <c r="B2143" s="0" t="n">
        <f aca="false">'02 SIZE_RUN'!P58</f>
        <v>242</v>
      </c>
      <c r="C2143" s="14" t="s">
        <v>227</v>
      </c>
      <c r="D2143" s="0" t="n">
        <f aca="false">'02 SIZE_RUN'!Q58</f>
        <v>182</v>
      </c>
      <c r="E2143" s="14" t="s">
        <v>228</v>
      </c>
      <c r="F2143" s="0" t="n">
        <f aca="false">'02 SIZE_RUN'!R58</f>
        <v>187</v>
      </c>
      <c r="G2143" s="14" t="s">
        <v>229</v>
      </c>
      <c r="H2143" s="0" t="n">
        <f aca="false">'02 SIZE_RUN'!S58</f>
        <v>147</v>
      </c>
    </row>
    <row r="2144" customFormat="false" ht="18" hidden="false" customHeight="true" outlineLevel="0" collapsed="false">
      <c r="A2144" s="14" t="s">
        <v>230</v>
      </c>
      <c r="B2144" s="0" t="n">
        <f aca="false">'02 SIZE_RUN'!T58</f>
        <v>115</v>
      </c>
      <c r="C2144" s="14" t="s">
        <v>231</v>
      </c>
      <c r="D2144" s="0" t="n">
        <f aca="false">'02 SIZE_RUN'!U58</f>
        <v>57</v>
      </c>
      <c r="E2144" s="14" t="s">
        <v>232</v>
      </c>
      <c r="F2144" s="0" t="n">
        <f aca="false">'02 SIZE_RUN'!V58</f>
        <v>50</v>
      </c>
      <c r="G2144" s="14" t="s">
        <v>233</v>
      </c>
      <c r="H2144" s="0" t="n">
        <f aca="false">'02 SIZE_RUN'!W58</f>
        <v>23</v>
      </c>
    </row>
    <row r="2145" customFormat="false" ht="18" hidden="false" customHeight="true" outlineLevel="0" collapsed="false">
      <c r="A2145" s="14" t="s">
        <v>234</v>
      </c>
      <c r="B2145" s="0" t="n">
        <f aca="false">'02 SIZE_RUN'!X58</f>
        <v>0</v>
      </c>
      <c r="C2145" s="14" t="s">
        <v>235</v>
      </c>
      <c r="D2145" s="0" t="n">
        <f aca="false">'02 SIZE_RUN'!Y58</f>
        <v>9</v>
      </c>
      <c r="E2145" s="14" t="s">
        <v>236</v>
      </c>
      <c r="F2145" s="0" t="n">
        <f aca="false">'02 SIZE_RUN'!Z58</f>
        <v>0</v>
      </c>
      <c r="G2145" s="14" t="s">
        <v>237</v>
      </c>
      <c r="H2145" s="0" t="n">
        <f aca="false">'02 SIZE_RUN'!AA58</f>
        <v>0</v>
      </c>
    </row>
    <row r="2146" customFormat="false" ht="18" hidden="false" customHeight="true" outlineLevel="0" collapsed="false">
      <c r="A2146" s="14" t="s">
        <v>238</v>
      </c>
      <c r="B2146" s="0" t="n">
        <f aca="false">'02 SIZE_RUN'!AB58</f>
        <v>0</v>
      </c>
      <c r="C2146" s="14" t="s">
        <v>239</v>
      </c>
      <c r="D2146" s="0" t="n">
        <f aca="false">'02 SIZE_RUN'!AC58</f>
        <v>0</v>
      </c>
      <c r="E2146" s="14" t="s">
        <v>240</v>
      </c>
      <c r="F2146" s="0" t="n">
        <f aca="false">'02 SIZE_RUN'!AD58</f>
        <v>0</v>
      </c>
      <c r="G2146" s="14" t="s">
        <v>241</v>
      </c>
      <c r="H2146" s="0" t="n">
        <f aca="false">'02 SIZE_RUN'!AE58</f>
        <v>0</v>
      </c>
    </row>
    <row r="2147" customFormat="false" ht="18" hidden="false" customHeight="true" outlineLevel="0" collapsed="false">
      <c r="A2147" s="14" t="s">
        <v>242</v>
      </c>
      <c r="B2147" s="0" t="n">
        <f aca="false">'02 SIZE_RUN'!AF58</f>
        <v>0</v>
      </c>
    </row>
    <row r="2148" customFormat="false" ht="18" hidden="false" customHeight="true" outlineLevel="0" collapsed="false">
      <c r="A2148" s="10" t="str">
        <f aca="false">"TOTAL SIZE: "&amp;'02 SIZE_RUN'!AG58&amp;" | SELISIH: "&amp;'02 SIZE_RUN'!AH58</f>
        <v>TOTAL SIZE: 2041 | SELISIH: 0</v>
      </c>
      <c r="B2148" s="10"/>
      <c r="C2148" s="10"/>
      <c r="D2148" s="10"/>
      <c r="E2148" s="10"/>
      <c r="F2148" s="10"/>
      <c r="G2148" s="10"/>
      <c r="H2148" s="10"/>
    </row>
    <row r="2149" customFormat="false" ht="18" hidden="false" customHeight="true" outlineLevel="0" collapsed="false">
      <c r="A2149" s="10" t="s">
        <v>255</v>
      </c>
      <c r="B2149" s="10"/>
      <c r="C2149" s="10"/>
      <c r="D2149" s="13" t="str">
        <f aca="false">IF('01 ADMIN_ORDER'!P58="","BELUM DITETAPKAN",TEXT('01 ADMIN_ORDER'!P58,"dd mmm yyyy"))</f>
        <v>BELUM DITETAPKAN</v>
      </c>
      <c r="E2149" s="13"/>
      <c r="F2149" s="13"/>
      <c r="G2149" s="13"/>
      <c r="H2149" s="13"/>
    </row>
    <row r="2150" customFormat="false" ht="18" hidden="false" customHeight="true" outlineLevel="0" collapsed="false">
      <c r="A2150" s="10" t="s">
        <v>256</v>
      </c>
      <c r="B2150" s="10"/>
      <c r="C2150" s="10"/>
      <c r="D2150" s="13" t="str">
        <f aca="false">IF('01 ADMIN_ORDER'!Q58="","BELUM DITETAPKAN",TEXT('01 ADMIN_ORDER'!Q58,"dd mmm yyyy"))</f>
        <v>BELUM DITETAPKAN</v>
      </c>
      <c r="E2150" s="13"/>
      <c r="F2150" s="13"/>
      <c r="G2150" s="13"/>
      <c r="H2150" s="13"/>
    </row>
    <row r="2151" customFormat="false" ht="25.5" hidden="false" customHeight="true" outlineLevel="0" collapsed="false">
      <c r="A2151" s="12" t="str">
        <f aca="false">"REFERENSI ASSEMBLY (bukan target upper): "&amp;TEXT('01 ADMIN_ORDER'!M58,"dd mmm yyyy")&amp;" - "&amp;TEXT('01 ADMIN_ORDER'!N58,"dd mmm yyyy")</f>
        <v>REFERENSI ASSEMBLY (bukan target upper): 19 Oct 2026 - 22 Oct 2026</v>
      </c>
      <c r="B2151" s="12"/>
      <c r="C2151" s="12"/>
      <c r="D2151" s="12"/>
      <c r="E2151" s="12"/>
      <c r="F2151" s="12"/>
      <c r="G2151" s="12"/>
      <c r="H2151" s="12"/>
    </row>
    <row r="2152" customFormat="false" ht="18" hidden="false" customHeight="true" outlineLevel="0" collapsed="false">
      <c r="A2152" s="10" t="s">
        <v>257</v>
      </c>
      <c r="B2152" s="10"/>
      <c r="C2152" s="10"/>
      <c r="D2152" s="13" t="str">
        <f aca="false">IF('04 KESIAPAN'!G58="","BELUM DIISI",'04 KESIAPAN'!G58)</f>
        <v>BELUM DIISI</v>
      </c>
      <c r="E2152" s="13"/>
      <c r="F2152" s="13"/>
      <c r="G2152" s="13"/>
      <c r="H2152" s="13"/>
    </row>
    <row r="2153" customFormat="false" ht="18" hidden="false" customHeight="true" outlineLevel="0" collapsed="false">
      <c r="A2153" s="10" t="s">
        <v>258</v>
      </c>
      <c r="B2153" s="10"/>
      <c r="C2153" s="10"/>
      <c r="D2153" s="13" t="str">
        <f aca="false">IF('04 KESIAPAN'!H58="","BELUM DIISI",'04 KESIAPAN'!H58)</f>
        <v>BELUM DIISI</v>
      </c>
      <c r="E2153" s="13"/>
      <c r="F2153" s="13"/>
      <c r="G2153" s="13"/>
      <c r="H2153" s="13"/>
    </row>
    <row r="2154" customFormat="false" ht="18" hidden="false" customHeight="true" outlineLevel="0" collapsed="false">
      <c r="A2154" s="10" t="s">
        <v>259</v>
      </c>
      <c r="B2154" s="10"/>
      <c r="C2154" s="10"/>
      <c r="D2154" s="13" t="str">
        <f aca="false">IF('04 KESIAPAN'!I58="","BELUM DIISI",'04 KESIAPAN'!I58)</f>
        <v>BELUM DIISI</v>
      </c>
      <c r="E2154" s="13"/>
      <c r="F2154" s="13"/>
      <c r="G2154" s="13"/>
      <c r="H2154" s="13"/>
    </row>
    <row r="2155" customFormat="false" ht="18" hidden="false" customHeight="true" outlineLevel="0" collapsed="false">
      <c r="A2155" s="10" t="s">
        <v>260</v>
      </c>
      <c r="B2155" s="10"/>
      <c r="C2155" s="10"/>
      <c r="D2155" s="13" t="str">
        <f aca="false">IF('04 KESIAPAN'!K58="","BELUM DIISI",'04 KESIAPAN'!K58)</f>
        <v>BELUM DIISI</v>
      </c>
      <c r="E2155" s="13"/>
      <c r="F2155" s="13"/>
      <c r="G2155" s="13"/>
      <c r="H2155" s="13"/>
    </row>
    <row r="2156" customFormat="false" ht="18" hidden="false" customHeight="true" outlineLevel="0" collapsed="false">
      <c r="A2156" s="10" t="s">
        <v>261</v>
      </c>
      <c r="B2156" s="10"/>
      <c r="C2156" s="10"/>
      <c r="D2156" s="13" t="str">
        <f aca="false">IF('04 KESIAPAN'!L58="","BELUM DIISI",'04 KESIAPAN'!L58)</f>
        <v>BELUM DIISI</v>
      </c>
      <c r="E2156" s="13"/>
      <c r="F2156" s="13"/>
      <c r="G2156" s="13"/>
      <c r="H2156" s="13"/>
    </row>
    <row r="2157" customFormat="false" ht="18" hidden="false" customHeight="true" outlineLevel="0" collapsed="false">
      <c r="A2157" s="10" t="s">
        <v>262</v>
      </c>
      <c r="B2157" s="10"/>
      <c r="C2157" s="10"/>
      <c r="D2157" s="13" t="str">
        <f aca="false">IF('04 KESIAPAN'!N58="","BELUM DIISI",'04 KESIAPAN'!N58)</f>
        <v>BELUM DIISI</v>
      </c>
      <c r="E2157" s="13"/>
      <c r="F2157" s="13"/>
      <c r="G2157" s="13"/>
      <c r="H2157" s="13"/>
    </row>
    <row r="2158" customFormat="false" ht="18" hidden="false" customHeight="true" outlineLevel="0" collapsed="false">
      <c r="A2158" s="10" t="s">
        <v>263</v>
      </c>
      <c r="B2158" s="10"/>
      <c r="C2158" s="10"/>
      <c r="D2158" s="13" t="str">
        <f aca="false">IF('04 KESIAPAN'!P58="","BELUM DIISI",'04 KESIAPAN'!P58)</f>
        <v>BELUM DIISI</v>
      </c>
      <c r="E2158" s="13"/>
      <c r="F2158" s="13"/>
      <c r="G2158" s="13"/>
      <c r="H2158" s="13"/>
    </row>
    <row r="2159" customFormat="false" ht="18" hidden="false" customHeight="true" outlineLevel="0" collapsed="false">
      <c r="A2159" s="7" t="s">
        <v>264</v>
      </c>
      <c r="B2159" s="7"/>
      <c r="C2159" s="7"/>
      <c r="D2159" s="7"/>
      <c r="E2159" s="7"/>
      <c r="F2159" s="7"/>
      <c r="G2159" s="7"/>
      <c r="H2159" s="7"/>
    </row>
    <row r="2160" customFormat="false" ht="18" hidden="false" customHeight="true" outlineLevel="0" collapsed="false">
      <c r="A2160" s="13"/>
      <c r="B2160" s="13"/>
      <c r="C2160" s="13"/>
      <c r="D2160" s="13"/>
      <c r="E2160" s="13"/>
      <c r="F2160" s="13"/>
      <c r="G2160" s="13"/>
      <c r="H2160" s="13"/>
    </row>
    <row r="2161" customFormat="false" ht="18" hidden="false" customHeight="true" outlineLevel="0" collapsed="false">
      <c r="A2161" s="13"/>
      <c r="B2161" s="13"/>
      <c r="C2161" s="13"/>
      <c r="D2161" s="13"/>
      <c r="E2161" s="13"/>
      <c r="F2161" s="13"/>
      <c r="G2161" s="13"/>
      <c r="H2161" s="13"/>
    </row>
    <row r="2162" customFormat="false" ht="18" hidden="false" customHeight="true" outlineLevel="0" collapsed="false">
      <c r="A2162" s="13"/>
      <c r="B2162" s="13"/>
      <c r="C2162" s="13"/>
      <c r="D2162" s="13"/>
      <c r="E2162" s="13"/>
      <c r="F2162" s="13"/>
      <c r="G2162" s="13"/>
      <c r="H2162" s="13"/>
    </row>
    <row r="2163" customFormat="false" ht="18" hidden="false" customHeight="true" outlineLevel="0" collapsed="false">
      <c r="A2163" s="12" t="s">
        <v>265</v>
      </c>
      <c r="B2163" s="12"/>
      <c r="C2163" s="12"/>
      <c r="D2163" s="12"/>
      <c r="E2163" s="12" t="s">
        <v>266</v>
      </c>
      <c r="F2163" s="12"/>
      <c r="G2163" s="12"/>
      <c r="H2163" s="12"/>
    </row>
    <row r="2164" customFormat="false" ht="18" hidden="false" customHeight="true" outlineLevel="0" collapsed="false">
      <c r="A2164" s="12" t="s">
        <v>323</v>
      </c>
      <c r="B2164" s="12"/>
      <c r="C2164" s="12"/>
      <c r="D2164" s="12"/>
      <c r="E2164" s="12"/>
      <c r="F2164" s="12"/>
      <c r="G2164" s="12"/>
      <c r="H2164" s="12"/>
    </row>
    <row r="2165" customFormat="false" ht="18" hidden="false" customHeight="true" outlineLevel="0" collapsed="false"/>
    <row r="2166" customFormat="false" ht="18" hidden="false" customHeight="true" outlineLevel="0" collapsed="false"/>
    <row r="2167" customFormat="false" ht="25.5" hidden="false" customHeight="true" outlineLevel="0" collapsed="false">
      <c r="A2167" s="7" t="s">
        <v>246</v>
      </c>
      <c r="B2167" s="7"/>
      <c r="C2167" s="7"/>
      <c r="D2167" s="7"/>
      <c r="E2167" s="7"/>
      <c r="F2167" s="7"/>
      <c r="G2167" s="7"/>
      <c r="H2167" s="7"/>
    </row>
    <row r="2168" customFormat="false" ht="18" hidden="false" customHeight="true" outlineLevel="0" collapsed="false">
      <c r="A2168" s="8" t="str">
        <f aca="false">'01 ADMIN_ORDER'!R59</f>
        <v>DRAFT - PERLU VERIFIKASI</v>
      </c>
      <c r="B2168" s="8"/>
      <c r="C2168" s="8"/>
      <c r="D2168" s="8"/>
      <c r="E2168" s="8"/>
      <c r="F2168" s="8"/>
      <c r="G2168" s="8"/>
      <c r="H2168" s="8"/>
    </row>
    <row r="2169" customFormat="false" ht="18" hidden="false" customHeight="true" outlineLevel="0" collapsed="false">
      <c r="A2169" s="9" t="s">
        <v>247</v>
      </c>
      <c r="B2169" s="9"/>
      <c r="C2169" s="9"/>
      <c r="D2169" s="9"/>
      <c r="E2169" s="9"/>
      <c r="F2169" s="9"/>
      <c r="G2169" s="9"/>
      <c r="H2169" s="9"/>
    </row>
    <row r="2170" customFormat="false" ht="18" hidden="false" customHeight="true" outlineLevel="0" collapsed="false">
      <c r="A2170" s="10" t="s">
        <v>248</v>
      </c>
      <c r="B2170" s="10"/>
      <c r="C2170" s="11" t="str">
        <f aca="false">'01 ADMIN_ORDER'!A59</f>
        <v>194/10/58 (59)</v>
      </c>
      <c r="D2170" s="11"/>
      <c r="E2170" s="11"/>
      <c r="F2170" s="11"/>
      <c r="G2170" s="11"/>
      <c r="H2170" s="11"/>
    </row>
    <row r="2171" customFormat="false" ht="18" hidden="false" customHeight="true" outlineLevel="0" collapsed="false">
      <c r="A2171" s="10" t="s">
        <v>249</v>
      </c>
      <c r="B2171" s="10"/>
      <c r="C2171" s="12" t="str">
        <f aca="false">'01 ADMIN_ORDER'!C59&amp;" / "&amp;'01 ADMIN_ORDER'!D59</f>
        <v>FRONTCOURT LOW / LA6615</v>
      </c>
      <c r="D2171" s="12"/>
      <c r="E2171" s="12"/>
      <c r="F2171" s="12"/>
      <c r="G2171" s="12"/>
      <c r="H2171" s="12"/>
    </row>
    <row r="2172" customFormat="false" ht="18" hidden="false" customHeight="true" outlineLevel="0" collapsed="false">
      <c r="A2172" s="10" t="s">
        <v>250</v>
      </c>
      <c r="B2172" s="10"/>
      <c r="C2172" s="12" t="str">
        <f aca="false">'01 ADMIN_ORDER'!E59</f>
        <v>903500993</v>
      </c>
      <c r="D2172" s="12"/>
      <c r="E2172" s="12"/>
      <c r="F2172" s="12"/>
      <c r="G2172" s="12"/>
      <c r="H2172" s="12"/>
    </row>
    <row r="2173" customFormat="false" ht="27.75" hidden="false" customHeight="true" outlineLevel="0" collapsed="false">
      <c r="A2173" s="10" t="s">
        <v>251</v>
      </c>
      <c r="B2173" s="10"/>
      <c r="C2173" s="12" t="str">
        <f aca="false">'01 ADMIN_ORDER'!H59</f>
        <v>FTWR WHITE/CORE BLACK/GREY ONE</v>
      </c>
      <c r="D2173" s="12"/>
      <c r="E2173" s="12"/>
      <c r="F2173" s="12"/>
      <c r="G2173" s="12"/>
      <c r="H2173" s="12"/>
    </row>
    <row r="2174" customFormat="false" ht="18" hidden="false" customHeight="true" outlineLevel="0" collapsed="false">
      <c r="A2174" s="10" t="s">
        <v>252</v>
      </c>
      <c r="B2174" s="10"/>
      <c r="C2174" s="12" t="str">
        <f aca="false">'01 ADMIN_ORDER'!B59&amp;" / "&amp;'01 ADMIN_ORDER'!G59</f>
        <v>B-19 / Germany</v>
      </c>
      <c r="D2174" s="12"/>
      <c r="E2174" s="12"/>
      <c r="F2174" s="12"/>
      <c r="G2174" s="12"/>
      <c r="H2174" s="12"/>
    </row>
    <row r="2175" customFormat="false" ht="18" hidden="false" customHeight="true" outlineLevel="0" collapsed="false">
      <c r="A2175" s="10" t="s">
        <v>253</v>
      </c>
      <c r="B2175" s="10"/>
      <c r="C2175" s="13" t="str">
        <f aca="false">'01 ADMIN_ORDER'!I59&amp;" / "&amp;IF('04 KESIAPAN'!B59="","UOM BELUM DIISI",'04 KESIAPAN'!B59)</f>
        <v>418 / UOM BELUM DIISI</v>
      </c>
      <c r="D2175" s="13"/>
      <c r="E2175" s="13"/>
      <c r="F2175" s="13"/>
      <c r="G2175" s="13"/>
      <c r="H2175" s="13"/>
    </row>
    <row r="2176" customFormat="false" ht="18" hidden="false" customHeight="true" outlineLevel="0" collapsed="false">
      <c r="A2176" s="13" t="str">
        <f aca="false">IF('04 KESIAPAN'!C59="","SISTEM UKURAN BELUM DIISI",'04 KESIAPAN'!C59)&amp;" | Tanda -: "&amp;IF('04 KESIAPAN'!D59="","BELUM DIKONFIRMASI",'04 KESIAPAN'!D59)</f>
        <v>SISTEM UKURAN BELUM DIISI | Tanda -: BELUM DIKONFIRMASI</v>
      </c>
      <c r="B2176" s="13"/>
      <c r="C2176" s="13"/>
      <c r="D2176" s="13"/>
      <c r="E2176" s="13"/>
      <c r="F2176" s="13"/>
      <c r="G2176" s="13"/>
      <c r="H2176" s="13"/>
    </row>
    <row r="2177" customFormat="false" ht="18" hidden="false" customHeight="true" outlineLevel="0" collapsed="false">
      <c r="A2177" s="7" t="s">
        <v>254</v>
      </c>
      <c r="B2177" s="7"/>
      <c r="C2177" s="7"/>
      <c r="D2177" s="7"/>
      <c r="E2177" s="7"/>
      <c r="F2177" s="7"/>
      <c r="G2177" s="7"/>
      <c r="H2177" s="7"/>
    </row>
    <row r="2178" customFormat="false" ht="18" hidden="false" customHeight="true" outlineLevel="0" collapsed="false">
      <c r="A2178" s="14" t="s">
        <v>214</v>
      </c>
      <c r="B2178" s="0" t="n">
        <f aca="false">'02 SIZE_RUN'!D59</f>
        <v>0</v>
      </c>
      <c r="C2178" s="14" t="s">
        <v>215</v>
      </c>
      <c r="D2178" s="0" t="n">
        <f aca="false">'02 SIZE_RUN'!E59</f>
        <v>1</v>
      </c>
      <c r="E2178" s="14" t="s">
        <v>216</v>
      </c>
      <c r="F2178" s="0" t="n">
        <f aca="false">'02 SIZE_RUN'!F59</f>
        <v>0</v>
      </c>
      <c r="G2178" s="14" t="s">
        <v>217</v>
      </c>
      <c r="H2178" s="0" t="n">
        <f aca="false">'02 SIZE_RUN'!G59</f>
        <v>0</v>
      </c>
    </row>
    <row r="2179" customFormat="false" ht="18" hidden="false" customHeight="true" outlineLevel="0" collapsed="false">
      <c r="A2179" s="14" t="s">
        <v>218</v>
      </c>
      <c r="B2179" s="0" t="n">
        <f aca="false">'02 SIZE_RUN'!H59</f>
        <v>0</v>
      </c>
      <c r="C2179" s="14" t="s">
        <v>219</v>
      </c>
      <c r="D2179" s="0" t="n">
        <f aca="false">'02 SIZE_RUN'!I59</f>
        <v>1</v>
      </c>
      <c r="E2179" s="14" t="s">
        <v>220</v>
      </c>
      <c r="F2179" s="0" t="n">
        <f aca="false">'02 SIZE_RUN'!J59</f>
        <v>2</v>
      </c>
      <c r="G2179" s="14" t="s">
        <v>221</v>
      </c>
      <c r="H2179" s="0" t="n">
        <f aca="false">'02 SIZE_RUN'!K59</f>
        <v>12</v>
      </c>
    </row>
    <row r="2180" customFormat="false" ht="18" hidden="false" customHeight="true" outlineLevel="0" collapsed="false">
      <c r="A2180" s="14" t="s">
        <v>222</v>
      </c>
      <c r="B2180" s="0" t="n">
        <f aca="false">'02 SIZE_RUN'!L59</f>
        <v>19</v>
      </c>
      <c r="C2180" s="14" t="s">
        <v>223</v>
      </c>
      <c r="D2180" s="0" t="n">
        <f aca="false">'02 SIZE_RUN'!M59</f>
        <v>0</v>
      </c>
      <c r="E2180" s="14" t="s">
        <v>224</v>
      </c>
      <c r="F2180" s="0" t="n">
        <f aca="false">'02 SIZE_RUN'!N59</f>
        <v>51</v>
      </c>
      <c r="G2180" s="14" t="s">
        <v>225</v>
      </c>
      <c r="H2180" s="0" t="n">
        <f aca="false">'02 SIZE_RUN'!O59</f>
        <v>53</v>
      </c>
    </row>
    <row r="2181" customFormat="false" ht="18" hidden="false" customHeight="true" outlineLevel="0" collapsed="false">
      <c r="A2181" s="14" t="s">
        <v>226</v>
      </c>
      <c r="B2181" s="0" t="n">
        <f aca="false">'02 SIZE_RUN'!P59</f>
        <v>91</v>
      </c>
      <c r="C2181" s="14" t="s">
        <v>227</v>
      </c>
      <c r="D2181" s="0" t="n">
        <f aca="false">'02 SIZE_RUN'!Q59</f>
        <v>60</v>
      </c>
      <c r="E2181" s="14" t="s">
        <v>228</v>
      </c>
      <c r="F2181" s="0" t="n">
        <f aca="false">'02 SIZE_RUN'!R59</f>
        <v>45</v>
      </c>
      <c r="G2181" s="14" t="s">
        <v>229</v>
      </c>
      <c r="H2181" s="0" t="n">
        <f aca="false">'02 SIZE_RUN'!S59</f>
        <v>11</v>
      </c>
    </row>
    <row r="2182" customFormat="false" ht="18" hidden="false" customHeight="true" outlineLevel="0" collapsed="false">
      <c r="A2182" s="14" t="s">
        <v>230</v>
      </c>
      <c r="B2182" s="0" t="n">
        <f aca="false">'02 SIZE_RUN'!T59</f>
        <v>35</v>
      </c>
      <c r="C2182" s="14" t="s">
        <v>231</v>
      </c>
      <c r="D2182" s="0" t="n">
        <f aca="false">'02 SIZE_RUN'!U59</f>
        <v>5</v>
      </c>
      <c r="E2182" s="14" t="s">
        <v>232</v>
      </c>
      <c r="F2182" s="0" t="n">
        <f aca="false">'02 SIZE_RUN'!V59</f>
        <v>27</v>
      </c>
      <c r="G2182" s="14" t="s">
        <v>233</v>
      </c>
      <c r="H2182" s="0" t="n">
        <f aca="false">'02 SIZE_RUN'!W59</f>
        <v>4</v>
      </c>
    </row>
    <row r="2183" customFormat="false" ht="18" hidden="false" customHeight="true" outlineLevel="0" collapsed="false">
      <c r="A2183" s="14" t="s">
        <v>234</v>
      </c>
      <c r="B2183" s="0" t="n">
        <f aca="false">'02 SIZE_RUN'!X59</f>
        <v>0</v>
      </c>
      <c r="C2183" s="14" t="s">
        <v>235</v>
      </c>
      <c r="D2183" s="0" t="n">
        <f aca="false">'02 SIZE_RUN'!Y59</f>
        <v>1</v>
      </c>
      <c r="E2183" s="14" t="s">
        <v>236</v>
      </c>
      <c r="F2183" s="0" t="n">
        <f aca="false">'02 SIZE_RUN'!Z59</f>
        <v>0</v>
      </c>
      <c r="G2183" s="14" t="s">
        <v>237</v>
      </c>
      <c r="H2183" s="0" t="n">
        <f aca="false">'02 SIZE_RUN'!AA59</f>
        <v>0</v>
      </c>
    </row>
    <row r="2184" customFormat="false" ht="18" hidden="false" customHeight="true" outlineLevel="0" collapsed="false">
      <c r="A2184" s="14" t="s">
        <v>238</v>
      </c>
      <c r="B2184" s="0" t="n">
        <f aca="false">'02 SIZE_RUN'!AB59</f>
        <v>0</v>
      </c>
      <c r="C2184" s="14" t="s">
        <v>239</v>
      </c>
      <c r="D2184" s="0" t="n">
        <f aca="false">'02 SIZE_RUN'!AC59</f>
        <v>0</v>
      </c>
      <c r="E2184" s="14" t="s">
        <v>240</v>
      </c>
      <c r="F2184" s="0" t="n">
        <f aca="false">'02 SIZE_RUN'!AD59</f>
        <v>0</v>
      </c>
      <c r="G2184" s="14" t="s">
        <v>241</v>
      </c>
      <c r="H2184" s="0" t="n">
        <f aca="false">'02 SIZE_RUN'!AE59</f>
        <v>0</v>
      </c>
    </row>
    <row r="2185" customFormat="false" ht="18" hidden="false" customHeight="true" outlineLevel="0" collapsed="false">
      <c r="A2185" s="14" t="s">
        <v>242</v>
      </c>
      <c r="B2185" s="0" t="n">
        <f aca="false">'02 SIZE_RUN'!AF59</f>
        <v>0</v>
      </c>
    </row>
    <row r="2186" customFormat="false" ht="18" hidden="false" customHeight="true" outlineLevel="0" collapsed="false">
      <c r="A2186" s="10" t="str">
        <f aca="false">"TOTAL SIZE: "&amp;'02 SIZE_RUN'!AG59&amp;" | SELISIH: "&amp;'02 SIZE_RUN'!AH59</f>
        <v>TOTAL SIZE: 418 | SELISIH: 0</v>
      </c>
      <c r="B2186" s="10"/>
      <c r="C2186" s="10"/>
      <c r="D2186" s="10"/>
      <c r="E2186" s="10"/>
      <c r="F2186" s="10"/>
      <c r="G2186" s="10"/>
      <c r="H2186" s="10"/>
    </row>
    <row r="2187" customFormat="false" ht="18" hidden="false" customHeight="true" outlineLevel="0" collapsed="false">
      <c r="A2187" s="10" t="s">
        <v>255</v>
      </c>
      <c r="B2187" s="10"/>
      <c r="C2187" s="10"/>
      <c r="D2187" s="13" t="str">
        <f aca="false">IF('01 ADMIN_ORDER'!P59="","BELUM DITETAPKAN",TEXT('01 ADMIN_ORDER'!P59,"dd mmm yyyy"))</f>
        <v>BELUM DITETAPKAN</v>
      </c>
      <c r="E2187" s="13"/>
      <c r="F2187" s="13"/>
      <c r="G2187" s="13"/>
      <c r="H2187" s="13"/>
    </row>
    <row r="2188" customFormat="false" ht="18" hidden="false" customHeight="true" outlineLevel="0" collapsed="false">
      <c r="A2188" s="10" t="s">
        <v>256</v>
      </c>
      <c r="B2188" s="10"/>
      <c r="C2188" s="10"/>
      <c r="D2188" s="13" t="str">
        <f aca="false">IF('01 ADMIN_ORDER'!Q59="","BELUM DITETAPKAN",TEXT('01 ADMIN_ORDER'!Q59,"dd mmm yyyy"))</f>
        <v>BELUM DITETAPKAN</v>
      </c>
      <c r="E2188" s="13"/>
      <c r="F2188" s="13"/>
      <c r="G2188" s="13"/>
      <c r="H2188" s="13"/>
    </row>
    <row r="2189" customFormat="false" ht="25.5" hidden="false" customHeight="true" outlineLevel="0" collapsed="false">
      <c r="A2189" s="12" t="str">
        <f aca="false">"REFERENSI ASSEMBLY (bukan target upper): "&amp;TEXT('01 ADMIN_ORDER'!M59,"dd mmm yyyy")&amp;" - "&amp;TEXT('01 ADMIN_ORDER'!N59,"dd mmm yyyy")</f>
        <v>REFERENSI ASSEMBLY (bukan target upper): 22 Oct 2026 - 22 Oct 2026</v>
      </c>
      <c r="B2189" s="12"/>
      <c r="C2189" s="12"/>
      <c r="D2189" s="12"/>
      <c r="E2189" s="12"/>
      <c r="F2189" s="12"/>
      <c r="G2189" s="12"/>
      <c r="H2189" s="12"/>
    </row>
    <row r="2190" customFormat="false" ht="18" hidden="false" customHeight="true" outlineLevel="0" collapsed="false">
      <c r="A2190" s="10" t="s">
        <v>257</v>
      </c>
      <c r="B2190" s="10"/>
      <c r="C2190" s="10"/>
      <c r="D2190" s="13" t="str">
        <f aca="false">IF('04 KESIAPAN'!G59="","BELUM DIISI",'04 KESIAPAN'!G59)</f>
        <v>BELUM DIISI</v>
      </c>
      <c r="E2190" s="13"/>
      <c r="F2190" s="13"/>
      <c r="G2190" s="13"/>
      <c r="H2190" s="13"/>
    </row>
    <row r="2191" customFormat="false" ht="18" hidden="false" customHeight="true" outlineLevel="0" collapsed="false">
      <c r="A2191" s="10" t="s">
        <v>258</v>
      </c>
      <c r="B2191" s="10"/>
      <c r="C2191" s="10"/>
      <c r="D2191" s="13" t="str">
        <f aca="false">IF('04 KESIAPAN'!H59="","BELUM DIISI",'04 KESIAPAN'!H59)</f>
        <v>BELUM DIISI</v>
      </c>
      <c r="E2191" s="13"/>
      <c r="F2191" s="13"/>
      <c r="G2191" s="13"/>
      <c r="H2191" s="13"/>
    </row>
    <row r="2192" customFormat="false" ht="18" hidden="false" customHeight="true" outlineLevel="0" collapsed="false">
      <c r="A2192" s="10" t="s">
        <v>259</v>
      </c>
      <c r="B2192" s="10"/>
      <c r="C2192" s="10"/>
      <c r="D2192" s="13" t="str">
        <f aca="false">IF('04 KESIAPAN'!I59="","BELUM DIISI",'04 KESIAPAN'!I59)</f>
        <v>BELUM DIISI</v>
      </c>
      <c r="E2192" s="13"/>
      <c r="F2192" s="13"/>
      <c r="G2192" s="13"/>
      <c r="H2192" s="13"/>
    </row>
    <row r="2193" customFormat="false" ht="18" hidden="false" customHeight="true" outlineLevel="0" collapsed="false">
      <c r="A2193" s="10" t="s">
        <v>260</v>
      </c>
      <c r="B2193" s="10"/>
      <c r="C2193" s="10"/>
      <c r="D2193" s="13" t="str">
        <f aca="false">IF('04 KESIAPAN'!K59="","BELUM DIISI",'04 KESIAPAN'!K59)</f>
        <v>BELUM DIISI</v>
      </c>
      <c r="E2193" s="13"/>
      <c r="F2193" s="13"/>
      <c r="G2193" s="13"/>
      <c r="H2193" s="13"/>
    </row>
    <row r="2194" customFormat="false" ht="18" hidden="false" customHeight="true" outlineLevel="0" collapsed="false">
      <c r="A2194" s="10" t="s">
        <v>261</v>
      </c>
      <c r="B2194" s="10"/>
      <c r="C2194" s="10"/>
      <c r="D2194" s="13" t="str">
        <f aca="false">IF('04 KESIAPAN'!L59="","BELUM DIISI",'04 KESIAPAN'!L59)</f>
        <v>BELUM DIISI</v>
      </c>
      <c r="E2194" s="13"/>
      <c r="F2194" s="13"/>
      <c r="G2194" s="13"/>
      <c r="H2194" s="13"/>
    </row>
    <row r="2195" customFormat="false" ht="18" hidden="false" customHeight="true" outlineLevel="0" collapsed="false">
      <c r="A2195" s="10" t="s">
        <v>262</v>
      </c>
      <c r="B2195" s="10"/>
      <c r="C2195" s="10"/>
      <c r="D2195" s="13" t="str">
        <f aca="false">IF('04 KESIAPAN'!N59="","BELUM DIISI",'04 KESIAPAN'!N59)</f>
        <v>BELUM DIISI</v>
      </c>
      <c r="E2195" s="13"/>
      <c r="F2195" s="13"/>
      <c r="G2195" s="13"/>
      <c r="H2195" s="13"/>
    </row>
    <row r="2196" customFormat="false" ht="18" hidden="false" customHeight="true" outlineLevel="0" collapsed="false">
      <c r="A2196" s="10" t="s">
        <v>263</v>
      </c>
      <c r="B2196" s="10"/>
      <c r="C2196" s="10"/>
      <c r="D2196" s="13" t="str">
        <f aca="false">IF('04 KESIAPAN'!P59="","BELUM DIISI",'04 KESIAPAN'!P59)</f>
        <v>BELUM DIISI</v>
      </c>
      <c r="E2196" s="13"/>
      <c r="F2196" s="13"/>
      <c r="G2196" s="13"/>
      <c r="H2196" s="13"/>
    </row>
    <row r="2197" customFormat="false" ht="18" hidden="false" customHeight="true" outlineLevel="0" collapsed="false">
      <c r="A2197" s="7" t="s">
        <v>264</v>
      </c>
      <c r="B2197" s="7"/>
      <c r="C2197" s="7"/>
      <c r="D2197" s="7"/>
      <c r="E2197" s="7"/>
      <c r="F2197" s="7"/>
      <c r="G2197" s="7"/>
      <c r="H2197" s="7"/>
    </row>
    <row r="2198" customFormat="false" ht="18" hidden="false" customHeight="true" outlineLevel="0" collapsed="false">
      <c r="A2198" s="13"/>
      <c r="B2198" s="13"/>
      <c r="C2198" s="13"/>
      <c r="D2198" s="13"/>
      <c r="E2198" s="13"/>
      <c r="F2198" s="13"/>
      <c r="G2198" s="13"/>
      <c r="H2198" s="13"/>
    </row>
    <row r="2199" customFormat="false" ht="18" hidden="false" customHeight="true" outlineLevel="0" collapsed="false">
      <c r="A2199" s="13"/>
      <c r="B2199" s="13"/>
      <c r="C2199" s="13"/>
      <c r="D2199" s="13"/>
      <c r="E2199" s="13"/>
      <c r="F2199" s="13"/>
      <c r="G2199" s="13"/>
      <c r="H2199" s="13"/>
    </row>
    <row r="2200" customFormat="false" ht="18" hidden="false" customHeight="true" outlineLevel="0" collapsed="false">
      <c r="A2200" s="13"/>
      <c r="B2200" s="13"/>
      <c r="C2200" s="13"/>
      <c r="D2200" s="13"/>
      <c r="E2200" s="13"/>
      <c r="F2200" s="13"/>
      <c r="G2200" s="13"/>
      <c r="H2200" s="13"/>
    </row>
    <row r="2201" customFormat="false" ht="18" hidden="false" customHeight="true" outlineLevel="0" collapsed="false">
      <c r="A2201" s="12" t="s">
        <v>265</v>
      </c>
      <c r="B2201" s="12"/>
      <c r="C2201" s="12"/>
      <c r="D2201" s="12"/>
      <c r="E2201" s="12" t="s">
        <v>266</v>
      </c>
      <c r="F2201" s="12"/>
      <c r="G2201" s="12"/>
      <c r="H2201" s="12"/>
    </row>
    <row r="2202" customFormat="false" ht="18" hidden="false" customHeight="true" outlineLevel="0" collapsed="false">
      <c r="A2202" s="12" t="s">
        <v>324</v>
      </c>
      <c r="B2202" s="12"/>
      <c r="C2202" s="12"/>
      <c r="D2202" s="12"/>
      <c r="E2202" s="12"/>
      <c r="F2202" s="12"/>
      <c r="G2202" s="12"/>
      <c r="H2202" s="12"/>
    </row>
    <row r="2203" customFormat="false" ht="18" hidden="false" customHeight="true" outlineLevel="0" collapsed="false"/>
    <row r="2204" customFormat="false" ht="18" hidden="false" customHeight="true" outlineLevel="0" collapsed="false"/>
    <row r="2205" customFormat="false" ht="25.5" hidden="false" customHeight="true" outlineLevel="0" collapsed="false">
      <c r="A2205" s="7" t="s">
        <v>246</v>
      </c>
      <c r="B2205" s="7"/>
      <c r="C2205" s="7"/>
      <c r="D2205" s="7"/>
      <c r="E2205" s="7"/>
      <c r="F2205" s="7"/>
      <c r="G2205" s="7"/>
      <c r="H2205" s="7"/>
    </row>
    <row r="2206" customFormat="false" ht="18" hidden="false" customHeight="true" outlineLevel="0" collapsed="false">
      <c r="A2206" s="8" t="str">
        <f aca="false">'01 ADMIN_ORDER'!R60</f>
        <v>DRAFT - PERLU VERIFIKASI</v>
      </c>
      <c r="B2206" s="8"/>
      <c r="C2206" s="8"/>
      <c r="D2206" s="8"/>
      <c r="E2206" s="8"/>
      <c r="F2206" s="8"/>
      <c r="G2206" s="8"/>
      <c r="H2206" s="8"/>
    </row>
    <row r="2207" customFormat="false" ht="18" hidden="false" customHeight="true" outlineLevel="0" collapsed="false">
      <c r="A2207" s="9" t="s">
        <v>247</v>
      </c>
      <c r="B2207" s="9"/>
      <c r="C2207" s="9"/>
      <c r="D2207" s="9"/>
      <c r="E2207" s="9"/>
      <c r="F2207" s="9"/>
      <c r="G2207" s="9"/>
      <c r="H2207" s="9"/>
    </row>
    <row r="2208" customFormat="false" ht="18" hidden="false" customHeight="true" outlineLevel="0" collapsed="false">
      <c r="A2208" s="10" t="s">
        <v>248</v>
      </c>
      <c r="B2208" s="10"/>
      <c r="C2208" s="11" t="str">
        <f aca="false">'01 ADMIN_ORDER'!A60</f>
        <v>195/10/59 (59)</v>
      </c>
      <c r="D2208" s="11"/>
      <c r="E2208" s="11"/>
      <c r="F2208" s="11"/>
      <c r="G2208" s="11"/>
      <c r="H2208" s="11"/>
    </row>
    <row r="2209" customFormat="false" ht="18" hidden="false" customHeight="true" outlineLevel="0" collapsed="false">
      <c r="A2209" s="10" t="s">
        <v>249</v>
      </c>
      <c r="B2209" s="10"/>
      <c r="C2209" s="12" t="str">
        <f aca="false">'01 ADMIN_ORDER'!C60&amp;" / "&amp;'01 ADMIN_ORDER'!D60</f>
        <v>FRONTCOURT LOW / LA6615</v>
      </c>
      <c r="D2209" s="12"/>
      <c r="E2209" s="12"/>
      <c r="F2209" s="12"/>
      <c r="G2209" s="12"/>
      <c r="H2209" s="12"/>
    </row>
    <row r="2210" customFormat="false" ht="18" hidden="false" customHeight="true" outlineLevel="0" collapsed="false">
      <c r="A2210" s="10" t="s">
        <v>250</v>
      </c>
      <c r="B2210" s="10"/>
      <c r="C2210" s="12" t="str">
        <f aca="false">'01 ADMIN_ORDER'!E60</f>
        <v>903500993 (FGT)</v>
      </c>
      <c r="D2210" s="12"/>
      <c r="E2210" s="12"/>
      <c r="F2210" s="12"/>
      <c r="G2210" s="12"/>
      <c r="H2210" s="12"/>
    </row>
    <row r="2211" customFormat="false" ht="27.75" hidden="false" customHeight="true" outlineLevel="0" collapsed="false">
      <c r="A2211" s="10" t="s">
        <v>251</v>
      </c>
      <c r="B2211" s="10"/>
      <c r="C2211" s="12" t="str">
        <f aca="false">'01 ADMIN_ORDER'!H60</f>
        <v>FTWR WHITE/CORE BLACK/GREY ONE</v>
      </c>
      <c r="D2211" s="12"/>
      <c r="E2211" s="12"/>
      <c r="F2211" s="12"/>
      <c r="G2211" s="12"/>
      <c r="H2211" s="12"/>
    </row>
    <row r="2212" customFormat="false" ht="18" hidden="false" customHeight="true" outlineLevel="0" collapsed="false">
      <c r="A2212" s="10" t="s">
        <v>252</v>
      </c>
      <c r="B2212" s="10"/>
      <c r="C2212" s="12" t="str">
        <f aca="false">'01 ADMIN_ORDER'!B60&amp;" / "&amp;'01 ADMIN_ORDER'!G60</f>
        <v>B-19 / Germany</v>
      </c>
      <c r="D2212" s="12"/>
      <c r="E2212" s="12"/>
      <c r="F2212" s="12"/>
      <c r="G2212" s="12"/>
      <c r="H2212" s="12"/>
    </row>
    <row r="2213" customFormat="false" ht="18" hidden="false" customHeight="true" outlineLevel="0" collapsed="false">
      <c r="A2213" s="10" t="s">
        <v>253</v>
      </c>
      <c r="B2213" s="10"/>
      <c r="C2213" s="13" t="str">
        <f aca="false">'01 ADMIN_ORDER'!I60&amp;" / "&amp;IF('04 KESIAPAN'!B60="","UOM BELUM DIISI",'04 KESIAPAN'!B60)</f>
        <v>9 / UOM BELUM DIISI</v>
      </c>
      <c r="D2213" s="13"/>
      <c r="E2213" s="13"/>
      <c r="F2213" s="13"/>
      <c r="G2213" s="13"/>
      <c r="H2213" s="13"/>
    </row>
    <row r="2214" customFormat="false" ht="18" hidden="false" customHeight="true" outlineLevel="0" collapsed="false">
      <c r="A2214" s="13" t="str">
        <f aca="false">IF('04 KESIAPAN'!C60="","SISTEM UKURAN BELUM DIISI",'04 KESIAPAN'!C60)&amp;" | Tanda -: "&amp;IF('04 KESIAPAN'!D60="","BELUM DIKONFIRMASI",'04 KESIAPAN'!D60)</f>
        <v>SISTEM UKURAN BELUM DIISI | Tanda -: BELUM DIKONFIRMASI</v>
      </c>
      <c r="B2214" s="13"/>
      <c r="C2214" s="13"/>
      <c r="D2214" s="13"/>
      <c r="E2214" s="13"/>
      <c r="F2214" s="13"/>
      <c r="G2214" s="13"/>
      <c r="H2214" s="13"/>
    </row>
    <row r="2215" customFormat="false" ht="18" hidden="false" customHeight="true" outlineLevel="0" collapsed="false">
      <c r="A2215" s="7" t="s">
        <v>254</v>
      </c>
      <c r="B2215" s="7"/>
      <c r="C2215" s="7"/>
      <c r="D2215" s="7"/>
      <c r="E2215" s="7"/>
      <c r="F2215" s="7"/>
      <c r="G2215" s="7"/>
      <c r="H2215" s="7"/>
    </row>
    <row r="2216" customFormat="false" ht="18" hidden="false" customHeight="true" outlineLevel="0" collapsed="false">
      <c r="A2216" s="14" t="s">
        <v>214</v>
      </c>
      <c r="B2216" s="0" t="n">
        <f aca="false">'02 SIZE_RUN'!D60</f>
        <v>0</v>
      </c>
      <c r="C2216" s="14" t="s">
        <v>215</v>
      </c>
      <c r="D2216" s="0" t="n">
        <f aca="false">'02 SIZE_RUN'!E60</f>
        <v>0</v>
      </c>
      <c r="E2216" s="14" t="s">
        <v>216</v>
      </c>
      <c r="F2216" s="0" t="n">
        <f aca="false">'02 SIZE_RUN'!F60</f>
        <v>0</v>
      </c>
      <c r="G2216" s="14" t="s">
        <v>217</v>
      </c>
      <c r="H2216" s="0" t="n">
        <f aca="false">'02 SIZE_RUN'!G60</f>
        <v>0</v>
      </c>
    </row>
    <row r="2217" customFormat="false" ht="18" hidden="false" customHeight="true" outlineLevel="0" collapsed="false">
      <c r="A2217" s="14" t="s">
        <v>218</v>
      </c>
      <c r="B2217" s="0" t="n">
        <f aca="false">'02 SIZE_RUN'!H60</f>
        <v>0</v>
      </c>
      <c r="C2217" s="14" t="s">
        <v>219</v>
      </c>
      <c r="D2217" s="0" t="n">
        <f aca="false">'02 SIZE_RUN'!I60</f>
        <v>0</v>
      </c>
      <c r="E2217" s="14" t="s">
        <v>220</v>
      </c>
      <c r="F2217" s="0" t="n">
        <f aca="false">'02 SIZE_RUN'!J60</f>
        <v>0</v>
      </c>
      <c r="G2217" s="14" t="s">
        <v>221</v>
      </c>
      <c r="H2217" s="0" t="n">
        <f aca="false">'02 SIZE_RUN'!K60</f>
        <v>0</v>
      </c>
    </row>
    <row r="2218" customFormat="false" ht="18" hidden="false" customHeight="true" outlineLevel="0" collapsed="false">
      <c r="A2218" s="14" t="s">
        <v>222</v>
      </c>
      <c r="B2218" s="0" t="n">
        <f aca="false">'02 SIZE_RUN'!L60</f>
        <v>0</v>
      </c>
      <c r="C2218" s="14" t="s">
        <v>223</v>
      </c>
      <c r="D2218" s="0" t="n">
        <f aca="false">'02 SIZE_RUN'!M60</f>
        <v>0</v>
      </c>
      <c r="E2218" s="14" t="s">
        <v>224</v>
      </c>
      <c r="F2218" s="0" t="n">
        <f aca="false">'02 SIZE_RUN'!N60</f>
        <v>0</v>
      </c>
      <c r="G2218" s="14" t="s">
        <v>225</v>
      </c>
      <c r="H2218" s="0" t="n">
        <f aca="false">'02 SIZE_RUN'!O60</f>
        <v>9</v>
      </c>
    </row>
    <row r="2219" customFormat="false" ht="18" hidden="false" customHeight="true" outlineLevel="0" collapsed="false">
      <c r="A2219" s="14" t="s">
        <v>226</v>
      </c>
      <c r="B2219" s="0" t="n">
        <f aca="false">'02 SIZE_RUN'!P60</f>
        <v>0</v>
      </c>
      <c r="C2219" s="14" t="s">
        <v>227</v>
      </c>
      <c r="D2219" s="0" t="n">
        <f aca="false">'02 SIZE_RUN'!Q60</f>
        <v>0</v>
      </c>
      <c r="E2219" s="14" t="s">
        <v>228</v>
      </c>
      <c r="F2219" s="0" t="n">
        <f aca="false">'02 SIZE_RUN'!R60</f>
        <v>0</v>
      </c>
      <c r="G2219" s="14" t="s">
        <v>229</v>
      </c>
      <c r="H2219" s="0" t="n">
        <f aca="false">'02 SIZE_RUN'!S60</f>
        <v>0</v>
      </c>
    </row>
    <row r="2220" customFormat="false" ht="18" hidden="false" customHeight="true" outlineLevel="0" collapsed="false">
      <c r="A2220" s="14" t="s">
        <v>230</v>
      </c>
      <c r="B2220" s="0" t="n">
        <f aca="false">'02 SIZE_RUN'!T60</f>
        <v>0</v>
      </c>
      <c r="C2220" s="14" t="s">
        <v>231</v>
      </c>
      <c r="D2220" s="0" t="n">
        <f aca="false">'02 SIZE_RUN'!U60</f>
        <v>0</v>
      </c>
      <c r="E2220" s="14" t="s">
        <v>232</v>
      </c>
      <c r="F2220" s="0" t="n">
        <f aca="false">'02 SIZE_RUN'!V60</f>
        <v>0</v>
      </c>
      <c r="G2220" s="14" t="s">
        <v>233</v>
      </c>
      <c r="H2220" s="0" t="n">
        <f aca="false">'02 SIZE_RUN'!W60</f>
        <v>0</v>
      </c>
    </row>
    <row r="2221" customFormat="false" ht="18" hidden="false" customHeight="true" outlineLevel="0" collapsed="false">
      <c r="A2221" s="14" t="s">
        <v>234</v>
      </c>
      <c r="B2221" s="0" t="n">
        <f aca="false">'02 SIZE_RUN'!X60</f>
        <v>0</v>
      </c>
      <c r="C2221" s="14" t="s">
        <v>235</v>
      </c>
      <c r="D2221" s="0" t="n">
        <f aca="false">'02 SIZE_RUN'!Y60</f>
        <v>0</v>
      </c>
      <c r="E2221" s="14" t="s">
        <v>236</v>
      </c>
      <c r="F2221" s="0" t="n">
        <f aca="false">'02 SIZE_RUN'!Z60</f>
        <v>0</v>
      </c>
      <c r="G2221" s="14" t="s">
        <v>237</v>
      </c>
      <c r="H2221" s="0" t="n">
        <f aca="false">'02 SIZE_RUN'!AA60</f>
        <v>0</v>
      </c>
    </row>
    <row r="2222" customFormat="false" ht="18" hidden="false" customHeight="true" outlineLevel="0" collapsed="false">
      <c r="A2222" s="14" t="s">
        <v>238</v>
      </c>
      <c r="B2222" s="0" t="n">
        <f aca="false">'02 SIZE_RUN'!AB60</f>
        <v>0</v>
      </c>
      <c r="C2222" s="14" t="s">
        <v>239</v>
      </c>
      <c r="D2222" s="0" t="n">
        <f aca="false">'02 SIZE_RUN'!AC60</f>
        <v>0</v>
      </c>
      <c r="E2222" s="14" t="s">
        <v>240</v>
      </c>
      <c r="F2222" s="0" t="n">
        <f aca="false">'02 SIZE_RUN'!AD60</f>
        <v>0</v>
      </c>
      <c r="G2222" s="14" t="s">
        <v>241</v>
      </c>
      <c r="H2222" s="0" t="n">
        <f aca="false">'02 SIZE_RUN'!AE60</f>
        <v>0</v>
      </c>
    </row>
    <row r="2223" customFormat="false" ht="18" hidden="false" customHeight="true" outlineLevel="0" collapsed="false">
      <c r="A2223" s="14" t="s">
        <v>242</v>
      </c>
      <c r="B2223" s="0" t="n">
        <f aca="false">'02 SIZE_RUN'!AF60</f>
        <v>0</v>
      </c>
    </row>
    <row r="2224" customFormat="false" ht="18" hidden="false" customHeight="true" outlineLevel="0" collapsed="false">
      <c r="A2224" s="10" t="str">
        <f aca="false">"TOTAL SIZE: "&amp;'02 SIZE_RUN'!AG60&amp;" | SELISIH: "&amp;'02 SIZE_RUN'!AH60</f>
        <v>TOTAL SIZE: 9 | SELISIH: 0</v>
      </c>
      <c r="B2224" s="10"/>
      <c r="C2224" s="10"/>
      <c r="D2224" s="10"/>
      <c r="E2224" s="10"/>
      <c r="F2224" s="10"/>
      <c r="G2224" s="10"/>
      <c r="H2224" s="10"/>
    </row>
    <row r="2225" customFormat="false" ht="18" hidden="false" customHeight="true" outlineLevel="0" collapsed="false">
      <c r="A2225" s="10" t="s">
        <v>255</v>
      </c>
      <c r="B2225" s="10"/>
      <c r="C2225" s="10"/>
      <c r="D2225" s="13" t="str">
        <f aca="false">IF('01 ADMIN_ORDER'!P60="","BELUM DITETAPKAN",TEXT('01 ADMIN_ORDER'!P60,"dd mmm yyyy"))</f>
        <v>BELUM DITETAPKAN</v>
      </c>
      <c r="E2225" s="13"/>
      <c r="F2225" s="13"/>
      <c r="G2225" s="13"/>
      <c r="H2225" s="13"/>
    </row>
    <row r="2226" customFormat="false" ht="18" hidden="false" customHeight="true" outlineLevel="0" collapsed="false">
      <c r="A2226" s="10" t="s">
        <v>256</v>
      </c>
      <c r="B2226" s="10"/>
      <c r="C2226" s="10"/>
      <c r="D2226" s="13" t="str">
        <f aca="false">IF('01 ADMIN_ORDER'!Q60="","BELUM DITETAPKAN",TEXT('01 ADMIN_ORDER'!Q60,"dd mmm yyyy"))</f>
        <v>BELUM DITETAPKAN</v>
      </c>
      <c r="E2226" s="13"/>
      <c r="F2226" s="13"/>
      <c r="G2226" s="13"/>
      <c r="H2226" s="13"/>
    </row>
    <row r="2227" customFormat="false" ht="25.5" hidden="false" customHeight="true" outlineLevel="0" collapsed="false">
      <c r="A2227" s="12" t="str">
        <f aca="false">"REFERENSI ASSEMBLY (bukan target upper): "&amp;TEXT('01 ADMIN_ORDER'!M60,"dd mmm yyyy")&amp;" - "&amp;TEXT('01 ADMIN_ORDER'!N60,"dd mmm yyyy")</f>
        <v>REFERENSI ASSEMBLY (bukan target upper): 22 Oct 2026 - 22 Oct 2026</v>
      </c>
      <c r="B2227" s="12"/>
      <c r="C2227" s="12"/>
      <c r="D2227" s="12"/>
      <c r="E2227" s="12"/>
      <c r="F2227" s="12"/>
      <c r="G2227" s="12"/>
      <c r="H2227" s="12"/>
    </row>
    <row r="2228" customFormat="false" ht="18" hidden="false" customHeight="true" outlineLevel="0" collapsed="false">
      <c r="A2228" s="10" t="s">
        <v>257</v>
      </c>
      <c r="B2228" s="10"/>
      <c r="C2228" s="10"/>
      <c r="D2228" s="13" t="str">
        <f aca="false">IF('04 KESIAPAN'!G60="","BELUM DIISI",'04 KESIAPAN'!G60)</f>
        <v>BELUM DIISI</v>
      </c>
      <c r="E2228" s="13"/>
      <c r="F2228" s="13"/>
      <c r="G2228" s="13"/>
      <c r="H2228" s="13"/>
    </row>
    <row r="2229" customFormat="false" ht="18" hidden="false" customHeight="true" outlineLevel="0" collapsed="false">
      <c r="A2229" s="10" t="s">
        <v>258</v>
      </c>
      <c r="B2229" s="10"/>
      <c r="C2229" s="10"/>
      <c r="D2229" s="13" t="str">
        <f aca="false">IF('04 KESIAPAN'!H60="","BELUM DIISI",'04 KESIAPAN'!H60)</f>
        <v>BELUM DIISI</v>
      </c>
      <c r="E2229" s="13"/>
      <c r="F2229" s="13"/>
      <c r="G2229" s="13"/>
      <c r="H2229" s="13"/>
    </row>
    <row r="2230" customFormat="false" ht="18" hidden="false" customHeight="true" outlineLevel="0" collapsed="false">
      <c r="A2230" s="10" t="s">
        <v>259</v>
      </c>
      <c r="B2230" s="10"/>
      <c r="C2230" s="10"/>
      <c r="D2230" s="13" t="str">
        <f aca="false">IF('04 KESIAPAN'!I60="","BELUM DIISI",'04 KESIAPAN'!I60)</f>
        <v>BELUM DIISI</v>
      </c>
      <c r="E2230" s="13"/>
      <c r="F2230" s="13"/>
      <c r="G2230" s="13"/>
      <c r="H2230" s="13"/>
    </row>
    <row r="2231" customFormat="false" ht="18" hidden="false" customHeight="true" outlineLevel="0" collapsed="false">
      <c r="A2231" s="10" t="s">
        <v>260</v>
      </c>
      <c r="B2231" s="10"/>
      <c r="C2231" s="10"/>
      <c r="D2231" s="13" t="str">
        <f aca="false">IF('04 KESIAPAN'!K60="","BELUM DIISI",'04 KESIAPAN'!K60)</f>
        <v>BELUM DIISI</v>
      </c>
      <c r="E2231" s="13"/>
      <c r="F2231" s="13"/>
      <c r="G2231" s="13"/>
      <c r="H2231" s="13"/>
    </row>
    <row r="2232" customFormat="false" ht="18" hidden="false" customHeight="true" outlineLevel="0" collapsed="false">
      <c r="A2232" s="10" t="s">
        <v>261</v>
      </c>
      <c r="B2232" s="10"/>
      <c r="C2232" s="10"/>
      <c r="D2232" s="13" t="str">
        <f aca="false">IF('04 KESIAPAN'!L60="","BELUM DIISI",'04 KESIAPAN'!L60)</f>
        <v>BELUM DIISI</v>
      </c>
      <c r="E2232" s="13"/>
      <c r="F2232" s="13"/>
      <c r="G2232" s="13"/>
      <c r="H2232" s="13"/>
    </row>
    <row r="2233" customFormat="false" ht="18" hidden="false" customHeight="true" outlineLevel="0" collapsed="false">
      <c r="A2233" s="10" t="s">
        <v>262</v>
      </c>
      <c r="B2233" s="10"/>
      <c r="C2233" s="10"/>
      <c r="D2233" s="13" t="str">
        <f aca="false">IF('04 KESIAPAN'!N60="","BELUM DIISI",'04 KESIAPAN'!N60)</f>
        <v>BELUM DIISI</v>
      </c>
      <c r="E2233" s="13"/>
      <c r="F2233" s="13"/>
      <c r="G2233" s="13"/>
      <c r="H2233" s="13"/>
    </row>
    <row r="2234" customFormat="false" ht="18" hidden="false" customHeight="true" outlineLevel="0" collapsed="false">
      <c r="A2234" s="10" t="s">
        <v>263</v>
      </c>
      <c r="B2234" s="10"/>
      <c r="C2234" s="10"/>
      <c r="D2234" s="13" t="str">
        <f aca="false">IF('04 KESIAPAN'!P60="","BELUM DIISI",'04 KESIAPAN'!P60)</f>
        <v>BELUM DIISI</v>
      </c>
      <c r="E2234" s="13"/>
      <c r="F2234" s="13"/>
      <c r="G2234" s="13"/>
      <c r="H2234" s="13"/>
    </row>
    <row r="2235" customFormat="false" ht="18" hidden="false" customHeight="true" outlineLevel="0" collapsed="false">
      <c r="A2235" s="7" t="s">
        <v>264</v>
      </c>
      <c r="B2235" s="7"/>
      <c r="C2235" s="7"/>
      <c r="D2235" s="7"/>
      <c r="E2235" s="7"/>
      <c r="F2235" s="7"/>
      <c r="G2235" s="7"/>
      <c r="H2235" s="7"/>
    </row>
    <row r="2236" customFormat="false" ht="18" hidden="false" customHeight="true" outlineLevel="0" collapsed="false">
      <c r="A2236" s="13"/>
      <c r="B2236" s="13"/>
      <c r="C2236" s="13"/>
      <c r="D2236" s="13"/>
      <c r="E2236" s="13"/>
      <c r="F2236" s="13"/>
      <c r="G2236" s="13"/>
      <c r="H2236" s="13"/>
    </row>
    <row r="2237" customFormat="false" ht="18" hidden="false" customHeight="true" outlineLevel="0" collapsed="false">
      <c r="A2237" s="13"/>
      <c r="B2237" s="13"/>
      <c r="C2237" s="13"/>
      <c r="D2237" s="13"/>
      <c r="E2237" s="13"/>
      <c r="F2237" s="13"/>
      <c r="G2237" s="13"/>
      <c r="H2237" s="13"/>
    </row>
    <row r="2238" customFormat="false" ht="18" hidden="false" customHeight="true" outlineLevel="0" collapsed="false">
      <c r="A2238" s="13"/>
      <c r="B2238" s="13"/>
      <c r="C2238" s="13"/>
      <c r="D2238" s="13"/>
      <c r="E2238" s="13"/>
      <c r="F2238" s="13"/>
      <c r="G2238" s="13"/>
      <c r="H2238" s="13"/>
    </row>
    <row r="2239" customFormat="false" ht="18" hidden="false" customHeight="true" outlineLevel="0" collapsed="false">
      <c r="A2239" s="12" t="s">
        <v>265</v>
      </c>
      <c r="B2239" s="12"/>
      <c r="C2239" s="12"/>
      <c r="D2239" s="12"/>
      <c r="E2239" s="12" t="s">
        <v>266</v>
      </c>
      <c r="F2239" s="12"/>
      <c r="G2239" s="12"/>
      <c r="H2239" s="12"/>
    </row>
    <row r="2240" customFormat="false" ht="18" hidden="false" customHeight="true" outlineLevel="0" collapsed="false">
      <c r="A2240" s="12" t="s">
        <v>325</v>
      </c>
      <c r="B2240" s="12"/>
      <c r="C2240" s="12"/>
      <c r="D2240" s="12"/>
      <c r="E2240" s="12"/>
      <c r="F2240" s="12"/>
      <c r="G2240" s="12"/>
      <c r="H2240" s="12"/>
    </row>
    <row r="2241" customFormat="false" ht="18" hidden="false" customHeight="true" outlineLevel="0" collapsed="false"/>
    <row r="2242" customFormat="false" ht="18" hidden="false" customHeight="true" outlineLevel="0" collapsed="false"/>
  </sheetData>
  <mergeCells count="2596">
    <mergeCell ref="A1:H1"/>
    <mergeCell ref="A2:H2"/>
    <mergeCell ref="A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H10"/>
    <mergeCell ref="A11:H11"/>
    <mergeCell ref="A20:H20"/>
    <mergeCell ref="A21:C21"/>
    <mergeCell ref="D21:H21"/>
    <mergeCell ref="A22:C22"/>
    <mergeCell ref="D22:H22"/>
    <mergeCell ref="A23:H23"/>
    <mergeCell ref="A24:C24"/>
    <mergeCell ref="D24:H24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1:H31"/>
    <mergeCell ref="A32:H32"/>
    <mergeCell ref="A33:H33"/>
    <mergeCell ref="A34:H34"/>
    <mergeCell ref="A35:D35"/>
    <mergeCell ref="E35:H35"/>
    <mergeCell ref="A36:H36"/>
    <mergeCell ref="A39:H39"/>
    <mergeCell ref="A40:H40"/>
    <mergeCell ref="A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H48"/>
    <mergeCell ref="A49:H49"/>
    <mergeCell ref="A58:H58"/>
    <mergeCell ref="A59:C59"/>
    <mergeCell ref="D59:H59"/>
    <mergeCell ref="A60:C60"/>
    <mergeCell ref="D60:H60"/>
    <mergeCell ref="A61:H61"/>
    <mergeCell ref="A62:C62"/>
    <mergeCell ref="D62:H62"/>
    <mergeCell ref="A63:C63"/>
    <mergeCell ref="D63:H63"/>
    <mergeCell ref="A64:C64"/>
    <mergeCell ref="D64:H64"/>
    <mergeCell ref="A65:C65"/>
    <mergeCell ref="D65:H65"/>
    <mergeCell ref="A66:C66"/>
    <mergeCell ref="D66:H66"/>
    <mergeCell ref="A67:C67"/>
    <mergeCell ref="D67:H67"/>
    <mergeCell ref="A68:C68"/>
    <mergeCell ref="D68:H68"/>
    <mergeCell ref="A69:H69"/>
    <mergeCell ref="A70:H70"/>
    <mergeCell ref="A71:H71"/>
    <mergeCell ref="A72:H72"/>
    <mergeCell ref="A73:D73"/>
    <mergeCell ref="E73:H73"/>
    <mergeCell ref="A74:H74"/>
    <mergeCell ref="A77:H77"/>
    <mergeCell ref="A78:H78"/>
    <mergeCell ref="A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H86"/>
    <mergeCell ref="A87:H87"/>
    <mergeCell ref="A96:H96"/>
    <mergeCell ref="A97:C97"/>
    <mergeCell ref="D97:H97"/>
    <mergeCell ref="A98:C98"/>
    <mergeCell ref="D98:H98"/>
    <mergeCell ref="A99:H99"/>
    <mergeCell ref="A100:C100"/>
    <mergeCell ref="D100:H100"/>
    <mergeCell ref="A101:C101"/>
    <mergeCell ref="D101:H101"/>
    <mergeCell ref="A102:C102"/>
    <mergeCell ref="D102:H102"/>
    <mergeCell ref="A103:C103"/>
    <mergeCell ref="D103:H103"/>
    <mergeCell ref="A104:C104"/>
    <mergeCell ref="D104:H104"/>
    <mergeCell ref="A105:C105"/>
    <mergeCell ref="D105:H105"/>
    <mergeCell ref="A106:C106"/>
    <mergeCell ref="D106:H106"/>
    <mergeCell ref="A107:H107"/>
    <mergeCell ref="A108:H108"/>
    <mergeCell ref="A109:H109"/>
    <mergeCell ref="A110:H110"/>
    <mergeCell ref="A111:D111"/>
    <mergeCell ref="E111:H111"/>
    <mergeCell ref="A112:H112"/>
    <mergeCell ref="A115:H115"/>
    <mergeCell ref="A116:H116"/>
    <mergeCell ref="A117:H117"/>
    <mergeCell ref="A118:B118"/>
    <mergeCell ref="C118:H118"/>
    <mergeCell ref="A119:B119"/>
    <mergeCell ref="C119:H119"/>
    <mergeCell ref="A120:B120"/>
    <mergeCell ref="C120:H120"/>
    <mergeCell ref="A121:B121"/>
    <mergeCell ref="C121:H121"/>
    <mergeCell ref="A122:B122"/>
    <mergeCell ref="C122:H122"/>
    <mergeCell ref="A123:B123"/>
    <mergeCell ref="C123:H123"/>
    <mergeCell ref="A124:H124"/>
    <mergeCell ref="A125:H125"/>
    <mergeCell ref="A134:H134"/>
    <mergeCell ref="A135:C135"/>
    <mergeCell ref="D135:H135"/>
    <mergeCell ref="A136:C136"/>
    <mergeCell ref="D136:H136"/>
    <mergeCell ref="A137:H137"/>
    <mergeCell ref="A138:C138"/>
    <mergeCell ref="D138:H138"/>
    <mergeCell ref="A139:C139"/>
    <mergeCell ref="D139:H139"/>
    <mergeCell ref="A140:C140"/>
    <mergeCell ref="D140:H140"/>
    <mergeCell ref="A141:C141"/>
    <mergeCell ref="D141:H141"/>
    <mergeCell ref="A142:C142"/>
    <mergeCell ref="D142:H142"/>
    <mergeCell ref="A143:C143"/>
    <mergeCell ref="D143:H143"/>
    <mergeCell ref="A144:C144"/>
    <mergeCell ref="D144:H144"/>
    <mergeCell ref="A145:H145"/>
    <mergeCell ref="A146:H146"/>
    <mergeCell ref="A147:H147"/>
    <mergeCell ref="A148:H148"/>
    <mergeCell ref="A149:D149"/>
    <mergeCell ref="E149:H149"/>
    <mergeCell ref="A150:H150"/>
    <mergeCell ref="A153:H153"/>
    <mergeCell ref="A154:H154"/>
    <mergeCell ref="A155:H155"/>
    <mergeCell ref="A156:B156"/>
    <mergeCell ref="C156:H156"/>
    <mergeCell ref="A157:B157"/>
    <mergeCell ref="C157:H157"/>
    <mergeCell ref="A158:B158"/>
    <mergeCell ref="C158:H158"/>
    <mergeCell ref="A159:B159"/>
    <mergeCell ref="C159:H159"/>
    <mergeCell ref="A160:B160"/>
    <mergeCell ref="C160:H160"/>
    <mergeCell ref="A161:B161"/>
    <mergeCell ref="C161:H161"/>
    <mergeCell ref="A162:H162"/>
    <mergeCell ref="A163:H163"/>
    <mergeCell ref="A172:H172"/>
    <mergeCell ref="A173:C173"/>
    <mergeCell ref="D173:H173"/>
    <mergeCell ref="A174:C174"/>
    <mergeCell ref="D174:H174"/>
    <mergeCell ref="A175:H175"/>
    <mergeCell ref="A176:C176"/>
    <mergeCell ref="D176:H176"/>
    <mergeCell ref="A177:C177"/>
    <mergeCell ref="D177:H177"/>
    <mergeCell ref="A178:C178"/>
    <mergeCell ref="D178:H178"/>
    <mergeCell ref="A179:C179"/>
    <mergeCell ref="D179:H179"/>
    <mergeCell ref="A180:C180"/>
    <mergeCell ref="D180:H180"/>
    <mergeCell ref="A181:C181"/>
    <mergeCell ref="D181:H181"/>
    <mergeCell ref="A182:C182"/>
    <mergeCell ref="D182:H182"/>
    <mergeCell ref="A183:H183"/>
    <mergeCell ref="A184:H184"/>
    <mergeCell ref="A185:H185"/>
    <mergeCell ref="A186:H186"/>
    <mergeCell ref="A187:D187"/>
    <mergeCell ref="E187:H187"/>
    <mergeCell ref="A188:H188"/>
    <mergeCell ref="A191:H191"/>
    <mergeCell ref="A192:H192"/>
    <mergeCell ref="A193:H193"/>
    <mergeCell ref="A194:B194"/>
    <mergeCell ref="C194:H194"/>
    <mergeCell ref="A195:B195"/>
    <mergeCell ref="C195:H195"/>
    <mergeCell ref="A196:B196"/>
    <mergeCell ref="C196:H196"/>
    <mergeCell ref="A197:B197"/>
    <mergeCell ref="C197:H197"/>
    <mergeCell ref="A198:B198"/>
    <mergeCell ref="C198:H198"/>
    <mergeCell ref="A199:B199"/>
    <mergeCell ref="C199:H199"/>
    <mergeCell ref="A200:H200"/>
    <mergeCell ref="A201:H201"/>
    <mergeCell ref="A210:H210"/>
    <mergeCell ref="A211:C211"/>
    <mergeCell ref="D211:H211"/>
    <mergeCell ref="A212:C212"/>
    <mergeCell ref="D212:H212"/>
    <mergeCell ref="A213:H213"/>
    <mergeCell ref="A214:C214"/>
    <mergeCell ref="D214:H214"/>
    <mergeCell ref="A215:C215"/>
    <mergeCell ref="D215:H215"/>
    <mergeCell ref="A216:C216"/>
    <mergeCell ref="D216:H216"/>
    <mergeCell ref="A217:C217"/>
    <mergeCell ref="D217:H217"/>
    <mergeCell ref="A218:C218"/>
    <mergeCell ref="D218:H218"/>
    <mergeCell ref="A219:C219"/>
    <mergeCell ref="D219:H219"/>
    <mergeCell ref="A220:C220"/>
    <mergeCell ref="D220:H220"/>
    <mergeCell ref="A221:H221"/>
    <mergeCell ref="A222:H222"/>
    <mergeCell ref="A223:H223"/>
    <mergeCell ref="A224:H224"/>
    <mergeCell ref="A225:D225"/>
    <mergeCell ref="E225:H225"/>
    <mergeCell ref="A226:H226"/>
    <mergeCell ref="A229:H229"/>
    <mergeCell ref="A230:H230"/>
    <mergeCell ref="A231:H231"/>
    <mergeCell ref="A232:B232"/>
    <mergeCell ref="C232:H232"/>
    <mergeCell ref="A233:B233"/>
    <mergeCell ref="C233:H233"/>
    <mergeCell ref="A234:B234"/>
    <mergeCell ref="C234:H234"/>
    <mergeCell ref="A235:B235"/>
    <mergeCell ref="C235:H235"/>
    <mergeCell ref="A236:B236"/>
    <mergeCell ref="C236:H236"/>
    <mergeCell ref="A237:B237"/>
    <mergeCell ref="C237:H237"/>
    <mergeCell ref="A238:H238"/>
    <mergeCell ref="A239:H239"/>
    <mergeCell ref="A248:H248"/>
    <mergeCell ref="A249:C249"/>
    <mergeCell ref="D249:H249"/>
    <mergeCell ref="A250:C250"/>
    <mergeCell ref="D250:H250"/>
    <mergeCell ref="A251:H251"/>
    <mergeCell ref="A252:C252"/>
    <mergeCell ref="D252:H252"/>
    <mergeCell ref="A253:C253"/>
    <mergeCell ref="D253:H253"/>
    <mergeCell ref="A254:C254"/>
    <mergeCell ref="D254:H254"/>
    <mergeCell ref="A255:C255"/>
    <mergeCell ref="D255:H255"/>
    <mergeCell ref="A256:C256"/>
    <mergeCell ref="D256:H256"/>
    <mergeCell ref="A257:C257"/>
    <mergeCell ref="D257:H257"/>
    <mergeCell ref="A258:C258"/>
    <mergeCell ref="D258:H258"/>
    <mergeCell ref="A259:H259"/>
    <mergeCell ref="A260:H260"/>
    <mergeCell ref="A261:H261"/>
    <mergeCell ref="A262:H262"/>
    <mergeCell ref="A263:D263"/>
    <mergeCell ref="E263:H263"/>
    <mergeCell ref="A264:H264"/>
    <mergeCell ref="A267:H267"/>
    <mergeCell ref="A268:H268"/>
    <mergeCell ref="A269:H269"/>
    <mergeCell ref="A270:B270"/>
    <mergeCell ref="C270:H270"/>
    <mergeCell ref="A271:B271"/>
    <mergeCell ref="C271:H271"/>
    <mergeCell ref="A272:B272"/>
    <mergeCell ref="C272:H272"/>
    <mergeCell ref="A273:B273"/>
    <mergeCell ref="C273:H273"/>
    <mergeCell ref="A274:B274"/>
    <mergeCell ref="C274:H274"/>
    <mergeCell ref="A275:B275"/>
    <mergeCell ref="C275:H275"/>
    <mergeCell ref="A276:H276"/>
    <mergeCell ref="A277:H277"/>
    <mergeCell ref="A286:H286"/>
    <mergeCell ref="A287:C287"/>
    <mergeCell ref="D287:H287"/>
    <mergeCell ref="A288:C288"/>
    <mergeCell ref="D288:H288"/>
    <mergeCell ref="A289:H289"/>
    <mergeCell ref="A290:C290"/>
    <mergeCell ref="D290:H290"/>
    <mergeCell ref="A291:C291"/>
    <mergeCell ref="D291:H291"/>
    <mergeCell ref="A292:C292"/>
    <mergeCell ref="D292:H292"/>
    <mergeCell ref="A293:C293"/>
    <mergeCell ref="D293:H293"/>
    <mergeCell ref="A294:C294"/>
    <mergeCell ref="D294:H294"/>
    <mergeCell ref="A295:C295"/>
    <mergeCell ref="D295:H295"/>
    <mergeCell ref="A296:C296"/>
    <mergeCell ref="D296:H296"/>
    <mergeCell ref="A297:H297"/>
    <mergeCell ref="A298:H298"/>
    <mergeCell ref="A299:H299"/>
    <mergeCell ref="A300:H300"/>
    <mergeCell ref="A301:D301"/>
    <mergeCell ref="E301:H301"/>
    <mergeCell ref="A302:H302"/>
    <mergeCell ref="A305:H305"/>
    <mergeCell ref="A306:H306"/>
    <mergeCell ref="A307:H307"/>
    <mergeCell ref="A308:B308"/>
    <mergeCell ref="C308:H308"/>
    <mergeCell ref="A309:B309"/>
    <mergeCell ref="C309:H309"/>
    <mergeCell ref="A310:B310"/>
    <mergeCell ref="C310:H310"/>
    <mergeCell ref="A311:B311"/>
    <mergeCell ref="C311:H311"/>
    <mergeCell ref="A312:B312"/>
    <mergeCell ref="C312:H312"/>
    <mergeCell ref="A313:B313"/>
    <mergeCell ref="C313:H313"/>
    <mergeCell ref="A314:H314"/>
    <mergeCell ref="A315:H315"/>
    <mergeCell ref="A324:H324"/>
    <mergeCell ref="A325:C325"/>
    <mergeCell ref="D325:H325"/>
    <mergeCell ref="A326:C326"/>
    <mergeCell ref="D326:H326"/>
    <mergeCell ref="A327:H327"/>
    <mergeCell ref="A328:C328"/>
    <mergeCell ref="D328:H328"/>
    <mergeCell ref="A329:C329"/>
    <mergeCell ref="D329:H329"/>
    <mergeCell ref="A330:C330"/>
    <mergeCell ref="D330:H330"/>
    <mergeCell ref="A331:C331"/>
    <mergeCell ref="D331:H331"/>
    <mergeCell ref="A332:C332"/>
    <mergeCell ref="D332:H332"/>
    <mergeCell ref="A333:C333"/>
    <mergeCell ref="D333:H333"/>
    <mergeCell ref="A334:C334"/>
    <mergeCell ref="D334:H334"/>
    <mergeCell ref="A335:H335"/>
    <mergeCell ref="A336:H336"/>
    <mergeCell ref="A337:H337"/>
    <mergeCell ref="A338:H338"/>
    <mergeCell ref="A339:D339"/>
    <mergeCell ref="E339:H339"/>
    <mergeCell ref="A340:H340"/>
    <mergeCell ref="A343:H343"/>
    <mergeCell ref="A344:H344"/>
    <mergeCell ref="A345:H345"/>
    <mergeCell ref="A346:B346"/>
    <mergeCell ref="C346:H346"/>
    <mergeCell ref="A347:B347"/>
    <mergeCell ref="C347:H347"/>
    <mergeCell ref="A348:B348"/>
    <mergeCell ref="C348:H348"/>
    <mergeCell ref="A349:B349"/>
    <mergeCell ref="C349:H349"/>
    <mergeCell ref="A350:B350"/>
    <mergeCell ref="C350:H350"/>
    <mergeCell ref="A351:B351"/>
    <mergeCell ref="C351:H351"/>
    <mergeCell ref="A352:H352"/>
    <mergeCell ref="A353:H353"/>
    <mergeCell ref="A362:H362"/>
    <mergeCell ref="A363:C363"/>
    <mergeCell ref="D363:H363"/>
    <mergeCell ref="A364:C364"/>
    <mergeCell ref="D364:H364"/>
    <mergeCell ref="A365:H365"/>
    <mergeCell ref="A366:C366"/>
    <mergeCell ref="D366:H366"/>
    <mergeCell ref="A367:C367"/>
    <mergeCell ref="D367:H367"/>
    <mergeCell ref="A368:C368"/>
    <mergeCell ref="D368:H368"/>
    <mergeCell ref="A369:C369"/>
    <mergeCell ref="D369:H369"/>
    <mergeCell ref="A370:C370"/>
    <mergeCell ref="D370:H370"/>
    <mergeCell ref="A371:C371"/>
    <mergeCell ref="D371:H371"/>
    <mergeCell ref="A372:C372"/>
    <mergeCell ref="D372:H372"/>
    <mergeCell ref="A373:H373"/>
    <mergeCell ref="A374:H374"/>
    <mergeCell ref="A375:H375"/>
    <mergeCell ref="A376:H376"/>
    <mergeCell ref="A377:D377"/>
    <mergeCell ref="E377:H377"/>
    <mergeCell ref="A378:H378"/>
    <mergeCell ref="A381:H381"/>
    <mergeCell ref="A382:H382"/>
    <mergeCell ref="A383:H383"/>
    <mergeCell ref="A384:B384"/>
    <mergeCell ref="C384:H384"/>
    <mergeCell ref="A385:B385"/>
    <mergeCell ref="C385:H385"/>
    <mergeCell ref="A386:B386"/>
    <mergeCell ref="C386:H386"/>
    <mergeCell ref="A387:B387"/>
    <mergeCell ref="C387:H387"/>
    <mergeCell ref="A388:B388"/>
    <mergeCell ref="C388:H388"/>
    <mergeCell ref="A389:B389"/>
    <mergeCell ref="C389:H389"/>
    <mergeCell ref="A390:H390"/>
    <mergeCell ref="A391:H391"/>
    <mergeCell ref="A400:H400"/>
    <mergeCell ref="A401:C401"/>
    <mergeCell ref="D401:H401"/>
    <mergeCell ref="A402:C402"/>
    <mergeCell ref="D402:H402"/>
    <mergeCell ref="A403:H403"/>
    <mergeCell ref="A404:C404"/>
    <mergeCell ref="D404:H404"/>
    <mergeCell ref="A405:C405"/>
    <mergeCell ref="D405:H405"/>
    <mergeCell ref="A406:C406"/>
    <mergeCell ref="D406:H406"/>
    <mergeCell ref="A407:C407"/>
    <mergeCell ref="D407:H407"/>
    <mergeCell ref="A408:C408"/>
    <mergeCell ref="D408:H408"/>
    <mergeCell ref="A409:C409"/>
    <mergeCell ref="D409:H409"/>
    <mergeCell ref="A410:C410"/>
    <mergeCell ref="D410:H410"/>
    <mergeCell ref="A411:H411"/>
    <mergeCell ref="A412:H412"/>
    <mergeCell ref="A413:H413"/>
    <mergeCell ref="A414:H414"/>
    <mergeCell ref="A415:D415"/>
    <mergeCell ref="E415:H415"/>
    <mergeCell ref="A416:H416"/>
    <mergeCell ref="A419:H419"/>
    <mergeCell ref="A420:H420"/>
    <mergeCell ref="A421:H421"/>
    <mergeCell ref="A422:B422"/>
    <mergeCell ref="C422:H422"/>
    <mergeCell ref="A423:B423"/>
    <mergeCell ref="C423:H423"/>
    <mergeCell ref="A424:B424"/>
    <mergeCell ref="C424:H424"/>
    <mergeCell ref="A425:B425"/>
    <mergeCell ref="C425:H425"/>
    <mergeCell ref="A426:B426"/>
    <mergeCell ref="C426:H426"/>
    <mergeCell ref="A427:B427"/>
    <mergeCell ref="C427:H427"/>
    <mergeCell ref="A428:H428"/>
    <mergeCell ref="A429:H429"/>
    <mergeCell ref="A438:H438"/>
    <mergeCell ref="A439:C439"/>
    <mergeCell ref="D439:H439"/>
    <mergeCell ref="A440:C440"/>
    <mergeCell ref="D440:H440"/>
    <mergeCell ref="A441:H441"/>
    <mergeCell ref="A442:C442"/>
    <mergeCell ref="D442:H442"/>
    <mergeCell ref="A443:C443"/>
    <mergeCell ref="D443:H443"/>
    <mergeCell ref="A444:C444"/>
    <mergeCell ref="D444:H444"/>
    <mergeCell ref="A445:C445"/>
    <mergeCell ref="D445:H445"/>
    <mergeCell ref="A446:C446"/>
    <mergeCell ref="D446:H446"/>
    <mergeCell ref="A447:C447"/>
    <mergeCell ref="D447:H447"/>
    <mergeCell ref="A448:C448"/>
    <mergeCell ref="D448:H448"/>
    <mergeCell ref="A449:H449"/>
    <mergeCell ref="A450:H450"/>
    <mergeCell ref="A451:H451"/>
    <mergeCell ref="A452:H452"/>
    <mergeCell ref="A453:D453"/>
    <mergeCell ref="E453:H453"/>
    <mergeCell ref="A454:H454"/>
    <mergeCell ref="A457:H457"/>
    <mergeCell ref="A458:H458"/>
    <mergeCell ref="A459:H459"/>
    <mergeCell ref="A460:B460"/>
    <mergeCell ref="C460:H460"/>
    <mergeCell ref="A461:B461"/>
    <mergeCell ref="C461:H461"/>
    <mergeCell ref="A462:B462"/>
    <mergeCell ref="C462:H462"/>
    <mergeCell ref="A463:B463"/>
    <mergeCell ref="C463:H463"/>
    <mergeCell ref="A464:B464"/>
    <mergeCell ref="C464:H464"/>
    <mergeCell ref="A465:B465"/>
    <mergeCell ref="C465:H465"/>
    <mergeCell ref="A466:H466"/>
    <mergeCell ref="A467:H467"/>
    <mergeCell ref="A476:H476"/>
    <mergeCell ref="A477:C477"/>
    <mergeCell ref="D477:H477"/>
    <mergeCell ref="A478:C478"/>
    <mergeCell ref="D478:H478"/>
    <mergeCell ref="A479:H479"/>
    <mergeCell ref="A480:C480"/>
    <mergeCell ref="D480:H480"/>
    <mergeCell ref="A481:C481"/>
    <mergeCell ref="D481:H481"/>
    <mergeCell ref="A482:C482"/>
    <mergeCell ref="D482:H482"/>
    <mergeCell ref="A483:C483"/>
    <mergeCell ref="D483:H483"/>
    <mergeCell ref="A484:C484"/>
    <mergeCell ref="D484:H484"/>
    <mergeCell ref="A485:C485"/>
    <mergeCell ref="D485:H485"/>
    <mergeCell ref="A486:C486"/>
    <mergeCell ref="D486:H486"/>
    <mergeCell ref="A487:H487"/>
    <mergeCell ref="A488:H488"/>
    <mergeCell ref="A489:H489"/>
    <mergeCell ref="A490:H490"/>
    <mergeCell ref="A491:D491"/>
    <mergeCell ref="E491:H491"/>
    <mergeCell ref="A492:H492"/>
    <mergeCell ref="A495:H495"/>
    <mergeCell ref="A496:H496"/>
    <mergeCell ref="A497:H497"/>
    <mergeCell ref="A498:B498"/>
    <mergeCell ref="C498:H498"/>
    <mergeCell ref="A499:B499"/>
    <mergeCell ref="C499:H499"/>
    <mergeCell ref="A500:B500"/>
    <mergeCell ref="C500:H500"/>
    <mergeCell ref="A501:B501"/>
    <mergeCell ref="C501:H501"/>
    <mergeCell ref="A502:B502"/>
    <mergeCell ref="C502:H502"/>
    <mergeCell ref="A503:B503"/>
    <mergeCell ref="C503:H503"/>
    <mergeCell ref="A504:H504"/>
    <mergeCell ref="A505:H505"/>
    <mergeCell ref="A514:H514"/>
    <mergeCell ref="A515:C515"/>
    <mergeCell ref="D515:H515"/>
    <mergeCell ref="A516:C516"/>
    <mergeCell ref="D516:H516"/>
    <mergeCell ref="A517:H517"/>
    <mergeCell ref="A518:C518"/>
    <mergeCell ref="D518:H518"/>
    <mergeCell ref="A519:C519"/>
    <mergeCell ref="D519:H519"/>
    <mergeCell ref="A520:C520"/>
    <mergeCell ref="D520:H520"/>
    <mergeCell ref="A521:C521"/>
    <mergeCell ref="D521:H521"/>
    <mergeCell ref="A522:C522"/>
    <mergeCell ref="D522:H522"/>
    <mergeCell ref="A523:C523"/>
    <mergeCell ref="D523:H523"/>
    <mergeCell ref="A524:C524"/>
    <mergeCell ref="D524:H524"/>
    <mergeCell ref="A525:H525"/>
    <mergeCell ref="A526:H526"/>
    <mergeCell ref="A527:H527"/>
    <mergeCell ref="A528:H528"/>
    <mergeCell ref="A529:D529"/>
    <mergeCell ref="E529:H529"/>
    <mergeCell ref="A530:H530"/>
    <mergeCell ref="A533:H533"/>
    <mergeCell ref="A534:H534"/>
    <mergeCell ref="A535:H535"/>
    <mergeCell ref="A536:B536"/>
    <mergeCell ref="C536:H536"/>
    <mergeCell ref="A537:B537"/>
    <mergeCell ref="C537:H537"/>
    <mergeCell ref="A538:B538"/>
    <mergeCell ref="C538:H538"/>
    <mergeCell ref="A539:B539"/>
    <mergeCell ref="C539:H539"/>
    <mergeCell ref="A540:B540"/>
    <mergeCell ref="C540:H540"/>
    <mergeCell ref="A541:B541"/>
    <mergeCell ref="C541:H541"/>
    <mergeCell ref="A542:H542"/>
    <mergeCell ref="A543:H543"/>
    <mergeCell ref="A552:H552"/>
    <mergeCell ref="A553:C553"/>
    <mergeCell ref="D553:H553"/>
    <mergeCell ref="A554:C554"/>
    <mergeCell ref="D554:H554"/>
    <mergeCell ref="A555:H555"/>
    <mergeCell ref="A556:C556"/>
    <mergeCell ref="D556:H556"/>
    <mergeCell ref="A557:C557"/>
    <mergeCell ref="D557:H557"/>
    <mergeCell ref="A558:C558"/>
    <mergeCell ref="D558:H558"/>
    <mergeCell ref="A559:C559"/>
    <mergeCell ref="D559:H559"/>
    <mergeCell ref="A560:C560"/>
    <mergeCell ref="D560:H560"/>
    <mergeCell ref="A561:C561"/>
    <mergeCell ref="D561:H561"/>
    <mergeCell ref="A562:C562"/>
    <mergeCell ref="D562:H562"/>
    <mergeCell ref="A563:H563"/>
    <mergeCell ref="A564:H564"/>
    <mergeCell ref="A565:H565"/>
    <mergeCell ref="A566:H566"/>
    <mergeCell ref="A567:D567"/>
    <mergeCell ref="E567:H567"/>
    <mergeCell ref="A568:H568"/>
    <mergeCell ref="A571:H571"/>
    <mergeCell ref="A572:H572"/>
    <mergeCell ref="A573:H573"/>
    <mergeCell ref="A574:B574"/>
    <mergeCell ref="C574:H574"/>
    <mergeCell ref="A575:B575"/>
    <mergeCell ref="C575:H575"/>
    <mergeCell ref="A576:B576"/>
    <mergeCell ref="C576:H576"/>
    <mergeCell ref="A577:B577"/>
    <mergeCell ref="C577:H577"/>
    <mergeCell ref="A578:B578"/>
    <mergeCell ref="C578:H578"/>
    <mergeCell ref="A579:B579"/>
    <mergeCell ref="C579:H579"/>
    <mergeCell ref="A580:H580"/>
    <mergeCell ref="A581:H581"/>
    <mergeCell ref="A590:H590"/>
    <mergeCell ref="A591:C591"/>
    <mergeCell ref="D591:H591"/>
    <mergeCell ref="A592:C592"/>
    <mergeCell ref="D592:H592"/>
    <mergeCell ref="A593:H593"/>
    <mergeCell ref="A594:C594"/>
    <mergeCell ref="D594:H594"/>
    <mergeCell ref="A595:C595"/>
    <mergeCell ref="D595:H595"/>
    <mergeCell ref="A596:C596"/>
    <mergeCell ref="D596:H596"/>
    <mergeCell ref="A597:C597"/>
    <mergeCell ref="D597:H597"/>
    <mergeCell ref="A598:C598"/>
    <mergeCell ref="D598:H598"/>
    <mergeCell ref="A599:C599"/>
    <mergeCell ref="D599:H599"/>
    <mergeCell ref="A600:C600"/>
    <mergeCell ref="D600:H600"/>
    <mergeCell ref="A601:H601"/>
    <mergeCell ref="A602:H602"/>
    <mergeCell ref="A603:H603"/>
    <mergeCell ref="A604:H604"/>
    <mergeCell ref="A605:D605"/>
    <mergeCell ref="E605:H605"/>
    <mergeCell ref="A606:H606"/>
    <mergeCell ref="A609:H609"/>
    <mergeCell ref="A610:H610"/>
    <mergeCell ref="A611:H611"/>
    <mergeCell ref="A612:B612"/>
    <mergeCell ref="C612:H612"/>
    <mergeCell ref="A613:B613"/>
    <mergeCell ref="C613:H613"/>
    <mergeCell ref="A614:B614"/>
    <mergeCell ref="C614:H614"/>
    <mergeCell ref="A615:B615"/>
    <mergeCell ref="C615:H615"/>
    <mergeCell ref="A616:B616"/>
    <mergeCell ref="C616:H616"/>
    <mergeCell ref="A617:B617"/>
    <mergeCell ref="C617:H617"/>
    <mergeCell ref="A618:H618"/>
    <mergeCell ref="A619:H619"/>
    <mergeCell ref="A628:H628"/>
    <mergeCell ref="A629:C629"/>
    <mergeCell ref="D629:H629"/>
    <mergeCell ref="A630:C630"/>
    <mergeCell ref="D630:H630"/>
    <mergeCell ref="A631:H631"/>
    <mergeCell ref="A632:C632"/>
    <mergeCell ref="D632:H632"/>
    <mergeCell ref="A633:C633"/>
    <mergeCell ref="D633:H633"/>
    <mergeCell ref="A634:C634"/>
    <mergeCell ref="D634:H634"/>
    <mergeCell ref="A635:C635"/>
    <mergeCell ref="D635:H635"/>
    <mergeCell ref="A636:C636"/>
    <mergeCell ref="D636:H636"/>
    <mergeCell ref="A637:C637"/>
    <mergeCell ref="D637:H637"/>
    <mergeCell ref="A638:C638"/>
    <mergeCell ref="D638:H638"/>
    <mergeCell ref="A639:H639"/>
    <mergeCell ref="A640:H640"/>
    <mergeCell ref="A641:H641"/>
    <mergeCell ref="A642:H642"/>
    <mergeCell ref="A643:D643"/>
    <mergeCell ref="E643:H643"/>
    <mergeCell ref="A644:H644"/>
    <mergeCell ref="A647:H647"/>
    <mergeCell ref="A648:H648"/>
    <mergeCell ref="A649:H649"/>
    <mergeCell ref="A650:B650"/>
    <mergeCell ref="C650:H650"/>
    <mergeCell ref="A651:B651"/>
    <mergeCell ref="C651:H651"/>
    <mergeCell ref="A652:B652"/>
    <mergeCell ref="C652:H652"/>
    <mergeCell ref="A653:B653"/>
    <mergeCell ref="C653:H653"/>
    <mergeCell ref="A654:B654"/>
    <mergeCell ref="C654:H654"/>
    <mergeCell ref="A655:B655"/>
    <mergeCell ref="C655:H655"/>
    <mergeCell ref="A656:H656"/>
    <mergeCell ref="A657:H657"/>
    <mergeCell ref="A666:H666"/>
    <mergeCell ref="A667:C667"/>
    <mergeCell ref="D667:H667"/>
    <mergeCell ref="A668:C668"/>
    <mergeCell ref="D668:H668"/>
    <mergeCell ref="A669:H669"/>
    <mergeCell ref="A670:C670"/>
    <mergeCell ref="D670:H670"/>
    <mergeCell ref="A671:C671"/>
    <mergeCell ref="D671:H671"/>
    <mergeCell ref="A672:C672"/>
    <mergeCell ref="D672:H672"/>
    <mergeCell ref="A673:C673"/>
    <mergeCell ref="D673:H673"/>
    <mergeCell ref="A674:C674"/>
    <mergeCell ref="D674:H674"/>
    <mergeCell ref="A675:C675"/>
    <mergeCell ref="D675:H675"/>
    <mergeCell ref="A676:C676"/>
    <mergeCell ref="D676:H676"/>
    <mergeCell ref="A677:H677"/>
    <mergeCell ref="A678:H678"/>
    <mergeCell ref="A679:H679"/>
    <mergeCell ref="A680:H680"/>
    <mergeCell ref="A681:D681"/>
    <mergeCell ref="E681:H681"/>
    <mergeCell ref="A682:H682"/>
    <mergeCell ref="A685:H685"/>
    <mergeCell ref="A686:H686"/>
    <mergeCell ref="A687:H687"/>
    <mergeCell ref="A688:B688"/>
    <mergeCell ref="C688:H688"/>
    <mergeCell ref="A689:B689"/>
    <mergeCell ref="C689:H689"/>
    <mergeCell ref="A690:B690"/>
    <mergeCell ref="C690:H690"/>
    <mergeCell ref="A691:B691"/>
    <mergeCell ref="C691:H691"/>
    <mergeCell ref="A692:B692"/>
    <mergeCell ref="C692:H692"/>
    <mergeCell ref="A693:B693"/>
    <mergeCell ref="C693:H693"/>
    <mergeCell ref="A694:H694"/>
    <mergeCell ref="A695:H695"/>
    <mergeCell ref="A704:H704"/>
    <mergeCell ref="A705:C705"/>
    <mergeCell ref="D705:H705"/>
    <mergeCell ref="A706:C706"/>
    <mergeCell ref="D706:H706"/>
    <mergeCell ref="A707:H707"/>
    <mergeCell ref="A708:C708"/>
    <mergeCell ref="D708:H708"/>
    <mergeCell ref="A709:C709"/>
    <mergeCell ref="D709:H709"/>
    <mergeCell ref="A710:C710"/>
    <mergeCell ref="D710:H710"/>
    <mergeCell ref="A711:C711"/>
    <mergeCell ref="D711:H711"/>
    <mergeCell ref="A712:C712"/>
    <mergeCell ref="D712:H712"/>
    <mergeCell ref="A713:C713"/>
    <mergeCell ref="D713:H713"/>
    <mergeCell ref="A714:C714"/>
    <mergeCell ref="D714:H714"/>
    <mergeCell ref="A715:H715"/>
    <mergeCell ref="A716:H716"/>
    <mergeCell ref="A717:H717"/>
    <mergeCell ref="A718:H718"/>
    <mergeCell ref="A719:D719"/>
    <mergeCell ref="E719:H719"/>
    <mergeCell ref="A720:H720"/>
    <mergeCell ref="A723:H723"/>
    <mergeCell ref="A724:H724"/>
    <mergeCell ref="A725:H725"/>
    <mergeCell ref="A726:B726"/>
    <mergeCell ref="C726:H726"/>
    <mergeCell ref="A727:B727"/>
    <mergeCell ref="C727:H727"/>
    <mergeCell ref="A728:B728"/>
    <mergeCell ref="C728:H728"/>
    <mergeCell ref="A729:B729"/>
    <mergeCell ref="C729:H729"/>
    <mergeCell ref="A730:B730"/>
    <mergeCell ref="C730:H730"/>
    <mergeCell ref="A731:B731"/>
    <mergeCell ref="C731:H731"/>
    <mergeCell ref="A732:H732"/>
    <mergeCell ref="A733:H733"/>
    <mergeCell ref="A742:H742"/>
    <mergeCell ref="A743:C743"/>
    <mergeCell ref="D743:H743"/>
    <mergeCell ref="A744:C744"/>
    <mergeCell ref="D744:H744"/>
    <mergeCell ref="A745:H745"/>
    <mergeCell ref="A746:C746"/>
    <mergeCell ref="D746:H746"/>
    <mergeCell ref="A747:C747"/>
    <mergeCell ref="D747:H747"/>
    <mergeCell ref="A748:C748"/>
    <mergeCell ref="D748:H748"/>
    <mergeCell ref="A749:C749"/>
    <mergeCell ref="D749:H749"/>
    <mergeCell ref="A750:C750"/>
    <mergeCell ref="D750:H750"/>
    <mergeCell ref="A751:C751"/>
    <mergeCell ref="D751:H751"/>
    <mergeCell ref="A752:C752"/>
    <mergeCell ref="D752:H752"/>
    <mergeCell ref="A753:H753"/>
    <mergeCell ref="A754:H754"/>
    <mergeCell ref="A755:H755"/>
    <mergeCell ref="A756:H756"/>
    <mergeCell ref="A757:D757"/>
    <mergeCell ref="E757:H757"/>
    <mergeCell ref="A758:H758"/>
    <mergeCell ref="A761:H761"/>
    <mergeCell ref="A762:H762"/>
    <mergeCell ref="A763:H763"/>
    <mergeCell ref="A764:B764"/>
    <mergeCell ref="C764:H764"/>
    <mergeCell ref="A765:B765"/>
    <mergeCell ref="C765:H765"/>
    <mergeCell ref="A766:B766"/>
    <mergeCell ref="C766:H766"/>
    <mergeCell ref="A767:B767"/>
    <mergeCell ref="C767:H767"/>
    <mergeCell ref="A768:B768"/>
    <mergeCell ref="C768:H768"/>
    <mergeCell ref="A769:B769"/>
    <mergeCell ref="C769:H769"/>
    <mergeCell ref="A770:H770"/>
    <mergeCell ref="A771:H771"/>
    <mergeCell ref="A780:H780"/>
    <mergeCell ref="A781:C781"/>
    <mergeCell ref="D781:H781"/>
    <mergeCell ref="A782:C782"/>
    <mergeCell ref="D782:H782"/>
    <mergeCell ref="A783:H783"/>
    <mergeCell ref="A784:C784"/>
    <mergeCell ref="D784:H784"/>
    <mergeCell ref="A785:C785"/>
    <mergeCell ref="D785:H785"/>
    <mergeCell ref="A786:C786"/>
    <mergeCell ref="D786:H786"/>
    <mergeCell ref="A787:C787"/>
    <mergeCell ref="D787:H787"/>
    <mergeCell ref="A788:C788"/>
    <mergeCell ref="D788:H788"/>
    <mergeCell ref="A789:C789"/>
    <mergeCell ref="D789:H789"/>
    <mergeCell ref="A790:C790"/>
    <mergeCell ref="D790:H790"/>
    <mergeCell ref="A791:H791"/>
    <mergeCell ref="A792:H792"/>
    <mergeCell ref="A793:H793"/>
    <mergeCell ref="A794:H794"/>
    <mergeCell ref="A795:D795"/>
    <mergeCell ref="E795:H795"/>
    <mergeCell ref="A796:H796"/>
    <mergeCell ref="A799:H799"/>
    <mergeCell ref="A800:H800"/>
    <mergeCell ref="A801:H801"/>
    <mergeCell ref="A802:B802"/>
    <mergeCell ref="C802:H802"/>
    <mergeCell ref="A803:B803"/>
    <mergeCell ref="C803:H803"/>
    <mergeCell ref="A804:B804"/>
    <mergeCell ref="C804:H804"/>
    <mergeCell ref="A805:B805"/>
    <mergeCell ref="C805:H805"/>
    <mergeCell ref="A806:B806"/>
    <mergeCell ref="C806:H806"/>
    <mergeCell ref="A807:B807"/>
    <mergeCell ref="C807:H807"/>
    <mergeCell ref="A808:H808"/>
    <mergeCell ref="A809:H809"/>
    <mergeCell ref="A818:H818"/>
    <mergeCell ref="A819:C819"/>
    <mergeCell ref="D819:H819"/>
    <mergeCell ref="A820:C820"/>
    <mergeCell ref="D820:H820"/>
    <mergeCell ref="A821:H821"/>
    <mergeCell ref="A822:C822"/>
    <mergeCell ref="D822:H822"/>
    <mergeCell ref="A823:C823"/>
    <mergeCell ref="D823:H823"/>
    <mergeCell ref="A824:C824"/>
    <mergeCell ref="D824:H824"/>
    <mergeCell ref="A825:C825"/>
    <mergeCell ref="D825:H825"/>
    <mergeCell ref="A826:C826"/>
    <mergeCell ref="D826:H826"/>
    <mergeCell ref="A827:C827"/>
    <mergeCell ref="D827:H827"/>
    <mergeCell ref="A828:C828"/>
    <mergeCell ref="D828:H828"/>
    <mergeCell ref="A829:H829"/>
    <mergeCell ref="A830:H830"/>
    <mergeCell ref="A831:H831"/>
    <mergeCell ref="A832:H832"/>
    <mergeCell ref="A833:D833"/>
    <mergeCell ref="E833:H833"/>
    <mergeCell ref="A834:H834"/>
    <mergeCell ref="A837:H837"/>
    <mergeCell ref="A838:H838"/>
    <mergeCell ref="A839:H839"/>
    <mergeCell ref="A840:B840"/>
    <mergeCell ref="C840:H840"/>
    <mergeCell ref="A841:B841"/>
    <mergeCell ref="C841:H841"/>
    <mergeCell ref="A842:B842"/>
    <mergeCell ref="C842:H842"/>
    <mergeCell ref="A843:B843"/>
    <mergeCell ref="C843:H843"/>
    <mergeCell ref="A844:B844"/>
    <mergeCell ref="C844:H844"/>
    <mergeCell ref="A845:B845"/>
    <mergeCell ref="C845:H845"/>
    <mergeCell ref="A846:H846"/>
    <mergeCell ref="A847:H847"/>
    <mergeCell ref="A856:H856"/>
    <mergeCell ref="A857:C857"/>
    <mergeCell ref="D857:H857"/>
    <mergeCell ref="A858:C858"/>
    <mergeCell ref="D858:H858"/>
    <mergeCell ref="A859:H859"/>
    <mergeCell ref="A860:C860"/>
    <mergeCell ref="D860:H860"/>
    <mergeCell ref="A861:C861"/>
    <mergeCell ref="D861:H861"/>
    <mergeCell ref="A862:C862"/>
    <mergeCell ref="D862:H862"/>
    <mergeCell ref="A863:C863"/>
    <mergeCell ref="D863:H863"/>
    <mergeCell ref="A864:C864"/>
    <mergeCell ref="D864:H864"/>
    <mergeCell ref="A865:C865"/>
    <mergeCell ref="D865:H865"/>
    <mergeCell ref="A866:C866"/>
    <mergeCell ref="D866:H866"/>
    <mergeCell ref="A867:H867"/>
    <mergeCell ref="A868:H868"/>
    <mergeCell ref="A869:H869"/>
    <mergeCell ref="A870:H870"/>
    <mergeCell ref="A871:D871"/>
    <mergeCell ref="E871:H871"/>
    <mergeCell ref="A872:H872"/>
    <mergeCell ref="A875:H875"/>
    <mergeCell ref="A876:H876"/>
    <mergeCell ref="A877:H877"/>
    <mergeCell ref="A878:B878"/>
    <mergeCell ref="C878:H878"/>
    <mergeCell ref="A879:B879"/>
    <mergeCell ref="C879:H879"/>
    <mergeCell ref="A880:B880"/>
    <mergeCell ref="C880:H880"/>
    <mergeCell ref="A881:B881"/>
    <mergeCell ref="C881:H881"/>
    <mergeCell ref="A882:B882"/>
    <mergeCell ref="C882:H882"/>
    <mergeCell ref="A883:B883"/>
    <mergeCell ref="C883:H883"/>
    <mergeCell ref="A884:H884"/>
    <mergeCell ref="A885:H885"/>
    <mergeCell ref="A894:H894"/>
    <mergeCell ref="A895:C895"/>
    <mergeCell ref="D895:H895"/>
    <mergeCell ref="A896:C896"/>
    <mergeCell ref="D896:H896"/>
    <mergeCell ref="A897:H897"/>
    <mergeCell ref="A898:C898"/>
    <mergeCell ref="D898:H898"/>
    <mergeCell ref="A899:C899"/>
    <mergeCell ref="D899:H899"/>
    <mergeCell ref="A900:C900"/>
    <mergeCell ref="D900:H900"/>
    <mergeCell ref="A901:C901"/>
    <mergeCell ref="D901:H901"/>
    <mergeCell ref="A902:C902"/>
    <mergeCell ref="D902:H902"/>
    <mergeCell ref="A903:C903"/>
    <mergeCell ref="D903:H903"/>
    <mergeCell ref="A904:C904"/>
    <mergeCell ref="D904:H904"/>
    <mergeCell ref="A905:H905"/>
    <mergeCell ref="A906:H906"/>
    <mergeCell ref="A907:H907"/>
    <mergeCell ref="A908:H908"/>
    <mergeCell ref="A909:D909"/>
    <mergeCell ref="E909:H909"/>
    <mergeCell ref="A910:H910"/>
    <mergeCell ref="A913:H913"/>
    <mergeCell ref="A914:H914"/>
    <mergeCell ref="A915:H915"/>
    <mergeCell ref="A916:B916"/>
    <mergeCell ref="C916:H916"/>
    <mergeCell ref="A917:B917"/>
    <mergeCell ref="C917:H917"/>
    <mergeCell ref="A918:B918"/>
    <mergeCell ref="C918:H918"/>
    <mergeCell ref="A919:B919"/>
    <mergeCell ref="C919:H919"/>
    <mergeCell ref="A920:B920"/>
    <mergeCell ref="C920:H920"/>
    <mergeCell ref="A921:B921"/>
    <mergeCell ref="C921:H921"/>
    <mergeCell ref="A922:H922"/>
    <mergeCell ref="A923:H923"/>
    <mergeCell ref="A932:H932"/>
    <mergeCell ref="A933:C933"/>
    <mergeCell ref="D933:H933"/>
    <mergeCell ref="A934:C934"/>
    <mergeCell ref="D934:H934"/>
    <mergeCell ref="A935:H935"/>
    <mergeCell ref="A936:C936"/>
    <mergeCell ref="D936:H936"/>
    <mergeCell ref="A937:C937"/>
    <mergeCell ref="D937:H937"/>
    <mergeCell ref="A938:C938"/>
    <mergeCell ref="D938:H938"/>
    <mergeCell ref="A939:C939"/>
    <mergeCell ref="D939:H939"/>
    <mergeCell ref="A940:C940"/>
    <mergeCell ref="D940:H940"/>
    <mergeCell ref="A941:C941"/>
    <mergeCell ref="D941:H941"/>
    <mergeCell ref="A942:C942"/>
    <mergeCell ref="D942:H942"/>
    <mergeCell ref="A943:H943"/>
    <mergeCell ref="A944:H944"/>
    <mergeCell ref="A945:H945"/>
    <mergeCell ref="A946:H946"/>
    <mergeCell ref="A947:D947"/>
    <mergeCell ref="E947:H947"/>
    <mergeCell ref="A948:H948"/>
    <mergeCell ref="A951:H951"/>
    <mergeCell ref="A952:H952"/>
    <mergeCell ref="A953:H953"/>
    <mergeCell ref="A954:B954"/>
    <mergeCell ref="C954:H954"/>
    <mergeCell ref="A955:B955"/>
    <mergeCell ref="C955:H955"/>
    <mergeCell ref="A956:B956"/>
    <mergeCell ref="C956:H956"/>
    <mergeCell ref="A957:B957"/>
    <mergeCell ref="C957:H957"/>
    <mergeCell ref="A958:B958"/>
    <mergeCell ref="C958:H958"/>
    <mergeCell ref="A959:B959"/>
    <mergeCell ref="C959:H959"/>
    <mergeCell ref="A960:H960"/>
    <mergeCell ref="A961:H961"/>
    <mergeCell ref="A970:H970"/>
    <mergeCell ref="A971:C971"/>
    <mergeCell ref="D971:H971"/>
    <mergeCell ref="A972:C972"/>
    <mergeCell ref="D972:H972"/>
    <mergeCell ref="A973:H973"/>
    <mergeCell ref="A974:C974"/>
    <mergeCell ref="D974:H974"/>
    <mergeCell ref="A975:C975"/>
    <mergeCell ref="D975:H975"/>
    <mergeCell ref="A976:C976"/>
    <mergeCell ref="D976:H976"/>
    <mergeCell ref="A977:C977"/>
    <mergeCell ref="D977:H977"/>
    <mergeCell ref="A978:C978"/>
    <mergeCell ref="D978:H978"/>
    <mergeCell ref="A979:C979"/>
    <mergeCell ref="D979:H979"/>
    <mergeCell ref="A980:C980"/>
    <mergeCell ref="D980:H980"/>
    <mergeCell ref="A981:H981"/>
    <mergeCell ref="A982:H982"/>
    <mergeCell ref="A983:H983"/>
    <mergeCell ref="A984:H984"/>
    <mergeCell ref="A985:D985"/>
    <mergeCell ref="E985:H985"/>
    <mergeCell ref="A986:H986"/>
    <mergeCell ref="A989:H989"/>
    <mergeCell ref="A990:H990"/>
    <mergeCell ref="A991:H991"/>
    <mergeCell ref="A992:B992"/>
    <mergeCell ref="C992:H992"/>
    <mergeCell ref="A993:B993"/>
    <mergeCell ref="C993:H993"/>
    <mergeCell ref="A994:B994"/>
    <mergeCell ref="C994:H994"/>
    <mergeCell ref="A995:B995"/>
    <mergeCell ref="C995:H995"/>
    <mergeCell ref="A996:B996"/>
    <mergeCell ref="C996:H996"/>
    <mergeCell ref="A997:B997"/>
    <mergeCell ref="C997:H997"/>
    <mergeCell ref="A998:H998"/>
    <mergeCell ref="A999:H999"/>
    <mergeCell ref="A1008:H1008"/>
    <mergeCell ref="A1009:C1009"/>
    <mergeCell ref="D1009:H1009"/>
    <mergeCell ref="A1010:C1010"/>
    <mergeCell ref="D1010:H1010"/>
    <mergeCell ref="A1011:H1011"/>
    <mergeCell ref="A1012:C1012"/>
    <mergeCell ref="D1012:H1012"/>
    <mergeCell ref="A1013:C1013"/>
    <mergeCell ref="D1013:H1013"/>
    <mergeCell ref="A1014:C1014"/>
    <mergeCell ref="D1014:H1014"/>
    <mergeCell ref="A1015:C1015"/>
    <mergeCell ref="D1015:H1015"/>
    <mergeCell ref="A1016:C1016"/>
    <mergeCell ref="D1016:H1016"/>
    <mergeCell ref="A1017:C1017"/>
    <mergeCell ref="D1017:H1017"/>
    <mergeCell ref="A1018:C1018"/>
    <mergeCell ref="D1018:H1018"/>
    <mergeCell ref="A1019:H1019"/>
    <mergeCell ref="A1020:H1020"/>
    <mergeCell ref="A1021:H1021"/>
    <mergeCell ref="A1022:H1022"/>
    <mergeCell ref="A1023:D1023"/>
    <mergeCell ref="E1023:H1023"/>
    <mergeCell ref="A1024:H1024"/>
    <mergeCell ref="A1027:H1027"/>
    <mergeCell ref="A1028:H1028"/>
    <mergeCell ref="A1029:H1029"/>
    <mergeCell ref="A1030:B1030"/>
    <mergeCell ref="C1030:H1030"/>
    <mergeCell ref="A1031:B1031"/>
    <mergeCell ref="C1031:H1031"/>
    <mergeCell ref="A1032:B1032"/>
    <mergeCell ref="C1032:H1032"/>
    <mergeCell ref="A1033:B1033"/>
    <mergeCell ref="C1033:H1033"/>
    <mergeCell ref="A1034:B1034"/>
    <mergeCell ref="C1034:H1034"/>
    <mergeCell ref="A1035:B1035"/>
    <mergeCell ref="C1035:H1035"/>
    <mergeCell ref="A1036:H1036"/>
    <mergeCell ref="A1037:H1037"/>
    <mergeCell ref="A1046:H1046"/>
    <mergeCell ref="A1047:C1047"/>
    <mergeCell ref="D1047:H1047"/>
    <mergeCell ref="A1048:C1048"/>
    <mergeCell ref="D1048:H1048"/>
    <mergeCell ref="A1049:H1049"/>
    <mergeCell ref="A1050:C1050"/>
    <mergeCell ref="D1050:H1050"/>
    <mergeCell ref="A1051:C1051"/>
    <mergeCell ref="D1051:H1051"/>
    <mergeCell ref="A1052:C1052"/>
    <mergeCell ref="D1052:H1052"/>
    <mergeCell ref="A1053:C1053"/>
    <mergeCell ref="D1053:H1053"/>
    <mergeCell ref="A1054:C1054"/>
    <mergeCell ref="D1054:H1054"/>
    <mergeCell ref="A1055:C1055"/>
    <mergeCell ref="D1055:H1055"/>
    <mergeCell ref="A1056:C1056"/>
    <mergeCell ref="D1056:H1056"/>
    <mergeCell ref="A1057:H1057"/>
    <mergeCell ref="A1058:H1058"/>
    <mergeCell ref="A1059:H1059"/>
    <mergeCell ref="A1060:H1060"/>
    <mergeCell ref="A1061:D1061"/>
    <mergeCell ref="E1061:H1061"/>
    <mergeCell ref="A1062:H1062"/>
    <mergeCell ref="A1065:H1065"/>
    <mergeCell ref="A1066:H1066"/>
    <mergeCell ref="A1067:H1067"/>
    <mergeCell ref="A1068:B1068"/>
    <mergeCell ref="C1068:H1068"/>
    <mergeCell ref="A1069:B1069"/>
    <mergeCell ref="C1069:H1069"/>
    <mergeCell ref="A1070:B1070"/>
    <mergeCell ref="C1070:H1070"/>
    <mergeCell ref="A1071:B1071"/>
    <mergeCell ref="C1071:H1071"/>
    <mergeCell ref="A1072:B1072"/>
    <mergeCell ref="C1072:H1072"/>
    <mergeCell ref="A1073:B1073"/>
    <mergeCell ref="C1073:H1073"/>
    <mergeCell ref="A1074:H1074"/>
    <mergeCell ref="A1075:H1075"/>
    <mergeCell ref="A1084:H1084"/>
    <mergeCell ref="A1085:C1085"/>
    <mergeCell ref="D1085:H1085"/>
    <mergeCell ref="A1086:C1086"/>
    <mergeCell ref="D1086:H1086"/>
    <mergeCell ref="A1087:H1087"/>
    <mergeCell ref="A1088:C1088"/>
    <mergeCell ref="D1088:H1088"/>
    <mergeCell ref="A1089:C1089"/>
    <mergeCell ref="D1089:H1089"/>
    <mergeCell ref="A1090:C1090"/>
    <mergeCell ref="D1090:H1090"/>
    <mergeCell ref="A1091:C1091"/>
    <mergeCell ref="D1091:H1091"/>
    <mergeCell ref="A1092:C1092"/>
    <mergeCell ref="D1092:H1092"/>
    <mergeCell ref="A1093:C1093"/>
    <mergeCell ref="D1093:H1093"/>
    <mergeCell ref="A1094:C1094"/>
    <mergeCell ref="D1094:H1094"/>
    <mergeCell ref="A1095:H1095"/>
    <mergeCell ref="A1096:H1096"/>
    <mergeCell ref="A1097:H1097"/>
    <mergeCell ref="A1098:H1098"/>
    <mergeCell ref="A1099:D1099"/>
    <mergeCell ref="E1099:H1099"/>
    <mergeCell ref="A1100:H1100"/>
    <mergeCell ref="A1103:H1103"/>
    <mergeCell ref="A1104:H1104"/>
    <mergeCell ref="A1105:H1105"/>
    <mergeCell ref="A1106:B1106"/>
    <mergeCell ref="C1106:H1106"/>
    <mergeCell ref="A1107:B1107"/>
    <mergeCell ref="C1107:H1107"/>
    <mergeCell ref="A1108:B1108"/>
    <mergeCell ref="C1108:H1108"/>
    <mergeCell ref="A1109:B1109"/>
    <mergeCell ref="C1109:H1109"/>
    <mergeCell ref="A1110:B1110"/>
    <mergeCell ref="C1110:H1110"/>
    <mergeCell ref="A1111:B1111"/>
    <mergeCell ref="C1111:H1111"/>
    <mergeCell ref="A1112:H1112"/>
    <mergeCell ref="A1113:H1113"/>
    <mergeCell ref="A1122:H1122"/>
    <mergeCell ref="A1123:C1123"/>
    <mergeCell ref="D1123:H1123"/>
    <mergeCell ref="A1124:C1124"/>
    <mergeCell ref="D1124:H1124"/>
    <mergeCell ref="A1125:H1125"/>
    <mergeCell ref="A1126:C1126"/>
    <mergeCell ref="D1126:H1126"/>
    <mergeCell ref="A1127:C1127"/>
    <mergeCell ref="D1127:H1127"/>
    <mergeCell ref="A1128:C1128"/>
    <mergeCell ref="D1128:H1128"/>
    <mergeCell ref="A1129:C1129"/>
    <mergeCell ref="D1129:H1129"/>
    <mergeCell ref="A1130:C1130"/>
    <mergeCell ref="D1130:H1130"/>
    <mergeCell ref="A1131:C1131"/>
    <mergeCell ref="D1131:H1131"/>
    <mergeCell ref="A1132:C1132"/>
    <mergeCell ref="D1132:H1132"/>
    <mergeCell ref="A1133:H1133"/>
    <mergeCell ref="A1134:H1134"/>
    <mergeCell ref="A1135:H1135"/>
    <mergeCell ref="A1136:H1136"/>
    <mergeCell ref="A1137:D1137"/>
    <mergeCell ref="E1137:H1137"/>
    <mergeCell ref="A1138:H1138"/>
    <mergeCell ref="A1141:H1141"/>
    <mergeCell ref="A1142:H1142"/>
    <mergeCell ref="A1143:H1143"/>
    <mergeCell ref="A1144:B1144"/>
    <mergeCell ref="C1144:H1144"/>
    <mergeCell ref="A1145:B1145"/>
    <mergeCell ref="C1145:H1145"/>
    <mergeCell ref="A1146:B1146"/>
    <mergeCell ref="C1146:H1146"/>
    <mergeCell ref="A1147:B1147"/>
    <mergeCell ref="C1147:H1147"/>
    <mergeCell ref="A1148:B1148"/>
    <mergeCell ref="C1148:H1148"/>
    <mergeCell ref="A1149:B1149"/>
    <mergeCell ref="C1149:H1149"/>
    <mergeCell ref="A1150:H1150"/>
    <mergeCell ref="A1151:H1151"/>
    <mergeCell ref="A1160:H1160"/>
    <mergeCell ref="A1161:C1161"/>
    <mergeCell ref="D1161:H1161"/>
    <mergeCell ref="A1162:C1162"/>
    <mergeCell ref="D1162:H1162"/>
    <mergeCell ref="A1163:H1163"/>
    <mergeCell ref="A1164:C1164"/>
    <mergeCell ref="D1164:H1164"/>
    <mergeCell ref="A1165:C1165"/>
    <mergeCell ref="D1165:H1165"/>
    <mergeCell ref="A1166:C1166"/>
    <mergeCell ref="D1166:H1166"/>
    <mergeCell ref="A1167:C1167"/>
    <mergeCell ref="D1167:H1167"/>
    <mergeCell ref="A1168:C1168"/>
    <mergeCell ref="D1168:H1168"/>
    <mergeCell ref="A1169:C1169"/>
    <mergeCell ref="D1169:H1169"/>
    <mergeCell ref="A1170:C1170"/>
    <mergeCell ref="D1170:H1170"/>
    <mergeCell ref="A1171:H1171"/>
    <mergeCell ref="A1172:H1172"/>
    <mergeCell ref="A1173:H1173"/>
    <mergeCell ref="A1174:H1174"/>
    <mergeCell ref="A1175:D1175"/>
    <mergeCell ref="E1175:H1175"/>
    <mergeCell ref="A1176:H1176"/>
    <mergeCell ref="A1179:H1179"/>
    <mergeCell ref="A1180:H1180"/>
    <mergeCell ref="A1181:H1181"/>
    <mergeCell ref="A1182:B1182"/>
    <mergeCell ref="C1182:H1182"/>
    <mergeCell ref="A1183:B1183"/>
    <mergeCell ref="C1183:H1183"/>
    <mergeCell ref="A1184:B1184"/>
    <mergeCell ref="C1184:H1184"/>
    <mergeCell ref="A1185:B1185"/>
    <mergeCell ref="C1185:H1185"/>
    <mergeCell ref="A1186:B1186"/>
    <mergeCell ref="C1186:H1186"/>
    <mergeCell ref="A1187:B1187"/>
    <mergeCell ref="C1187:H1187"/>
    <mergeCell ref="A1188:H1188"/>
    <mergeCell ref="A1189:H1189"/>
    <mergeCell ref="A1198:H1198"/>
    <mergeCell ref="A1199:C1199"/>
    <mergeCell ref="D1199:H1199"/>
    <mergeCell ref="A1200:C1200"/>
    <mergeCell ref="D1200:H1200"/>
    <mergeCell ref="A1201:H1201"/>
    <mergeCell ref="A1202:C1202"/>
    <mergeCell ref="D1202:H1202"/>
    <mergeCell ref="A1203:C1203"/>
    <mergeCell ref="D1203:H1203"/>
    <mergeCell ref="A1204:C1204"/>
    <mergeCell ref="D1204:H1204"/>
    <mergeCell ref="A1205:C1205"/>
    <mergeCell ref="D1205:H1205"/>
    <mergeCell ref="A1206:C1206"/>
    <mergeCell ref="D1206:H1206"/>
    <mergeCell ref="A1207:C1207"/>
    <mergeCell ref="D1207:H1207"/>
    <mergeCell ref="A1208:C1208"/>
    <mergeCell ref="D1208:H1208"/>
    <mergeCell ref="A1209:H1209"/>
    <mergeCell ref="A1210:H1210"/>
    <mergeCell ref="A1211:H1211"/>
    <mergeCell ref="A1212:H1212"/>
    <mergeCell ref="A1213:D1213"/>
    <mergeCell ref="E1213:H1213"/>
    <mergeCell ref="A1214:H1214"/>
    <mergeCell ref="A1217:H1217"/>
    <mergeCell ref="A1218:H1218"/>
    <mergeCell ref="A1219:H1219"/>
    <mergeCell ref="A1220:B1220"/>
    <mergeCell ref="C1220:H1220"/>
    <mergeCell ref="A1221:B1221"/>
    <mergeCell ref="C1221:H1221"/>
    <mergeCell ref="A1222:B1222"/>
    <mergeCell ref="C1222:H1222"/>
    <mergeCell ref="A1223:B1223"/>
    <mergeCell ref="C1223:H1223"/>
    <mergeCell ref="A1224:B1224"/>
    <mergeCell ref="C1224:H1224"/>
    <mergeCell ref="A1225:B1225"/>
    <mergeCell ref="C1225:H1225"/>
    <mergeCell ref="A1226:H1226"/>
    <mergeCell ref="A1227:H1227"/>
    <mergeCell ref="A1236:H1236"/>
    <mergeCell ref="A1237:C1237"/>
    <mergeCell ref="D1237:H1237"/>
    <mergeCell ref="A1238:C1238"/>
    <mergeCell ref="D1238:H1238"/>
    <mergeCell ref="A1239:H1239"/>
    <mergeCell ref="A1240:C1240"/>
    <mergeCell ref="D1240:H1240"/>
    <mergeCell ref="A1241:C1241"/>
    <mergeCell ref="D1241:H1241"/>
    <mergeCell ref="A1242:C1242"/>
    <mergeCell ref="D1242:H1242"/>
    <mergeCell ref="A1243:C1243"/>
    <mergeCell ref="D1243:H1243"/>
    <mergeCell ref="A1244:C1244"/>
    <mergeCell ref="D1244:H1244"/>
    <mergeCell ref="A1245:C1245"/>
    <mergeCell ref="D1245:H1245"/>
    <mergeCell ref="A1246:C1246"/>
    <mergeCell ref="D1246:H1246"/>
    <mergeCell ref="A1247:H1247"/>
    <mergeCell ref="A1248:H1248"/>
    <mergeCell ref="A1249:H1249"/>
    <mergeCell ref="A1250:H1250"/>
    <mergeCell ref="A1251:D1251"/>
    <mergeCell ref="E1251:H1251"/>
    <mergeCell ref="A1252:H1252"/>
    <mergeCell ref="A1255:H1255"/>
    <mergeCell ref="A1256:H1256"/>
    <mergeCell ref="A1257:H1257"/>
    <mergeCell ref="A1258:B1258"/>
    <mergeCell ref="C1258:H1258"/>
    <mergeCell ref="A1259:B1259"/>
    <mergeCell ref="C1259:H1259"/>
    <mergeCell ref="A1260:B1260"/>
    <mergeCell ref="C1260:H1260"/>
    <mergeCell ref="A1261:B1261"/>
    <mergeCell ref="C1261:H1261"/>
    <mergeCell ref="A1262:B1262"/>
    <mergeCell ref="C1262:H1262"/>
    <mergeCell ref="A1263:B1263"/>
    <mergeCell ref="C1263:H1263"/>
    <mergeCell ref="A1264:H1264"/>
    <mergeCell ref="A1265:H1265"/>
    <mergeCell ref="A1274:H1274"/>
    <mergeCell ref="A1275:C1275"/>
    <mergeCell ref="D1275:H1275"/>
    <mergeCell ref="A1276:C1276"/>
    <mergeCell ref="D1276:H1276"/>
    <mergeCell ref="A1277:H1277"/>
    <mergeCell ref="A1278:C1278"/>
    <mergeCell ref="D1278:H1278"/>
    <mergeCell ref="A1279:C1279"/>
    <mergeCell ref="D1279:H1279"/>
    <mergeCell ref="A1280:C1280"/>
    <mergeCell ref="D1280:H1280"/>
    <mergeCell ref="A1281:C1281"/>
    <mergeCell ref="D1281:H1281"/>
    <mergeCell ref="A1282:C1282"/>
    <mergeCell ref="D1282:H1282"/>
    <mergeCell ref="A1283:C1283"/>
    <mergeCell ref="D1283:H1283"/>
    <mergeCell ref="A1284:C1284"/>
    <mergeCell ref="D1284:H1284"/>
    <mergeCell ref="A1285:H1285"/>
    <mergeCell ref="A1286:H1286"/>
    <mergeCell ref="A1287:H1287"/>
    <mergeCell ref="A1288:H1288"/>
    <mergeCell ref="A1289:D1289"/>
    <mergeCell ref="E1289:H1289"/>
    <mergeCell ref="A1290:H1290"/>
    <mergeCell ref="A1293:H1293"/>
    <mergeCell ref="A1294:H1294"/>
    <mergeCell ref="A1295:H1295"/>
    <mergeCell ref="A1296:B1296"/>
    <mergeCell ref="C1296:H1296"/>
    <mergeCell ref="A1297:B1297"/>
    <mergeCell ref="C1297:H1297"/>
    <mergeCell ref="A1298:B1298"/>
    <mergeCell ref="C1298:H1298"/>
    <mergeCell ref="A1299:B1299"/>
    <mergeCell ref="C1299:H1299"/>
    <mergeCell ref="A1300:B1300"/>
    <mergeCell ref="C1300:H1300"/>
    <mergeCell ref="A1301:B1301"/>
    <mergeCell ref="C1301:H1301"/>
    <mergeCell ref="A1302:H1302"/>
    <mergeCell ref="A1303:H1303"/>
    <mergeCell ref="A1312:H1312"/>
    <mergeCell ref="A1313:C1313"/>
    <mergeCell ref="D1313:H1313"/>
    <mergeCell ref="A1314:C1314"/>
    <mergeCell ref="D1314:H1314"/>
    <mergeCell ref="A1315:H1315"/>
    <mergeCell ref="A1316:C1316"/>
    <mergeCell ref="D1316:H1316"/>
    <mergeCell ref="A1317:C1317"/>
    <mergeCell ref="D1317:H1317"/>
    <mergeCell ref="A1318:C1318"/>
    <mergeCell ref="D1318:H1318"/>
    <mergeCell ref="A1319:C1319"/>
    <mergeCell ref="D1319:H1319"/>
    <mergeCell ref="A1320:C1320"/>
    <mergeCell ref="D1320:H1320"/>
    <mergeCell ref="A1321:C1321"/>
    <mergeCell ref="D1321:H1321"/>
    <mergeCell ref="A1322:C1322"/>
    <mergeCell ref="D1322:H1322"/>
    <mergeCell ref="A1323:H1323"/>
    <mergeCell ref="A1324:H1324"/>
    <mergeCell ref="A1325:H1325"/>
    <mergeCell ref="A1326:H1326"/>
    <mergeCell ref="A1327:D1327"/>
    <mergeCell ref="E1327:H1327"/>
    <mergeCell ref="A1328:H1328"/>
    <mergeCell ref="A1331:H1331"/>
    <mergeCell ref="A1332:H1332"/>
    <mergeCell ref="A1333:H1333"/>
    <mergeCell ref="A1334:B1334"/>
    <mergeCell ref="C1334:H1334"/>
    <mergeCell ref="A1335:B1335"/>
    <mergeCell ref="C1335:H1335"/>
    <mergeCell ref="A1336:B1336"/>
    <mergeCell ref="C1336:H1336"/>
    <mergeCell ref="A1337:B1337"/>
    <mergeCell ref="C1337:H1337"/>
    <mergeCell ref="A1338:B1338"/>
    <mergeCell ref="C1338:H1338"/>
    <mergeCell ref="A1339:B1339"/>
    <mergeCell ref="C1339:H1339"/>
    <mergeCell ref="A1340:H1340"/>
    <mergeCell ref="A1341:H1341"/>
    <mergeCell ref="A1350:H1350"/>
    <mergeCell ref="A1351:C1351"/>
    <mergeCell ref="D1351:H1351"/>
    <mergeCell ref="A1352:C1352"/>
    <mergeCell ref="D1352:H1352"/>
    <mergeCell ref="A1353:H1353"/>
    <mergeCell ref="A1354:C1354"/>
    <mergeCell ref="D1354:H1354"/>
    <mergeCell ref="A1355:C1355"/>
    <mergeCell ref="D1355:H1355"/>
    <mergeCell ref="A1356:C1356"/>
    <mergeCell ref="D1356:H1356"/>
    <mergeCell ref="A1357:C1357"/>
    <mergeCell ref="D1357:H1357"/>
    <mergeCell ref="A1358:C1358"/>
    <mergeCell ref="D1358:H1358"/>
    <mergeCell ref="A1359:C1359"/>
    <mergeCell ref="D1359:H1359"/>
    <mergeCell ref="A1360:C1360"/>
    <mergeCell ref="D1360:H1360"/>
    <mergeCell ref="A1361:H1361"/>
    <mergeCell ref="A1362:H1362"/>
    <mergeCell ref="A1363:H1363"/>
    <mergeCell ref="A1364:H1364"/>
    <mergeCell ref="A1365:D1365"/>
    <mergeCell ref="E1365:H1365"/>
    <mergeCell ref="A1366:H1366"/>
    <mergeCell ref="A1369:H1369"/>
    <mergeCell ref="A1370:H1370"/>
    <mergeCell ref="A1371:H1371"/>
    <mergeCell ref="A1372:B1372"/>
    <mergeCell ref="C1372:H1372"/>
    <mergeCell ref="A1373:B1373"/>
    <mergeCell ref="C1373:H1373"/>
    <mergeCell ref="A1374:B1374"/>
    <mergeCell ref="C1374:H1374"/>
    <mergeCell ref="A1375:B1375"/>
    <mergeCell ref="C1375:H1375"/>
    <mergeCell ref="A1376:B1376"/>
    <mergeCell ref="C1376:H1376"/>
    <mergeCell ref="A1377:B1377"/>
    <mergeCell ref="C1377:H1377"/>
    <mergeCell ref="A1378:H1378"/>
    <mergeCell ref="A1379:H1379"/>
    <mergeCell ref="A1388:H1388"/>
    <mergeCell ref="A1389:C1389"/>
    <mergeCell ref="D1389:H1389"/>
    <mergeCell ref="A1390:C1390"/>
    <mergeCell ref="D1390:H1390"/>
    <mergeCell ref="A1391:H1391"/>
    <mergeCell ref="A1392:C1392"/>
    <mergeCell ref="D1392:H1392"/>
    <mergeCell ref="A1393:C1393"/>
    <mergeCell ref="D1393:H1393"/>
    <mergeCell ref="A1394:C1394"/>
    <mergeCell ref="D1394:H1394"/>
    <mergeCell ref="A1395:C1395"/>
    <mergeCell ref="D1395:H1395"/>
    <mergeCell ref="A1396:C1396"/>
    <mergeCell ref="D1396:H1396"/>
    <mergeCell ref="A1397:C1397"/>
    <mergeCell ref="D1397:H1397"/>
    <mergeCell ref="A1398:C1398"/>
    <mergeCell ref="D1398:H1398"/>
    <mergeCell ref="A1399:H1399"/>
    <mergeCell ref="A1400:H1400"/>
    <mergeCell ref="A1401:H1401"/>
    <mergeCell ref="A1402:H1402"/>
    <mergeCell ref="A1403:D1403"/>
    <mergeCell ref="E1403:H1403"/>
    <mergeCell ref="A1404:H1404"/>
    <mergeCell ref="A1407:H1407"/>
    <mergeCell ref="A1408:H1408"/>
    <mergeCell ref="A1409:H1409"/>
    <mergeCell ref="A1410:B1410"/>
    <mergeCell ref="C1410:H1410"/>
    <mergeCell ref="A1411:B1411"/>
    <mergeCell ref="C1411:H1411"/>
    <mergeCell ref="A1412:B1412"/>
    <mergeCell ref="C1412:H1412"/>
    <mergeCell ref="A1413:B1413"/>
    <mergeCell ref="C1413:H1413"/>
    <mergeCell ref="A1414:B1414"/>
    <mergeCell ref="C1414:H1414"/>
    <mergeCell ref="A1415:B1415"/>
    <mergeCell ref="C1415:H1415"/>
    <mergeCell ref="A1416:H1416"/>
    <mergeCell ref="A1417:H1417"/>
    <mergeCell ref="A1426:H1426"/>
    <mergeCell ref="A1427:C1427"/>
    <mergeCell ref="D1427:H1427"/>
    <mergeCell ref="A1428:C1428"/>
    <mergeCell ref="D1428:H1428"/>
    <mergeCell ref="A1429:H1429"/>
    <mergeCell ref="A1430:C1430"/>
    <mergeCell ref="D1430:H1430"/>
    <mergeCell ref="A1431:C1431"/>
    <mergeCell ref="D1431:H1431"/>
    <mergeCell ref="A1432:C1432"/>
    <mergeCell ref="D1432:H1432"/>
    <mergeCell ref="A1433:C1433"/>
    <mergeCell ref="D1433:H1433"/>
    <mergeCell ref="A1434:C1434"/>
    <mergeCell ref="D1434:H1434"/>
    <mergeCell ref="A1435:C1435"/>
    <mergeCell ref="D1435:H1435"/>
    <mergeCell ref="A1436:C1436"/>
    <mergeCell ref="D1436:H1436"/>
    <mergeCell ref="A1437:H1437"/>
    <mergeCell ref="A1438:H1438"/>
    <mergeCell ref="A1439:H1439"/>
    <mergeCell ref="A1440:H1440"/>
    <mergeCell ref="A1441:D1441"/>
    <mergeCell ref="E1441:H1441"/>
    <mergeCell ref="A1442:H1442"/>
    <mergeCell ref="A1445:H1445"/>
    <mergeCell ref="A1446:H1446"/>
    <mergeCell ref="A1447:H1447"/>
    <mergeCell ref="A1448:B1448"/>
    <mergeCell ref="C1448:H1448"/>
    <mergeCell ref="A1449:B1449"/>
    <mergeCell ref="C1449:H1449"/>
    <mergeCell ref="A1450:B1450"/>
    <mergeCell ref="C1450:H1450"/>
    <mergeCell ref="A1451:B1451"/>
    <mergeCell ref="C1451:H1451"/>
    <mergeCell ref="A1452:B1452"/>
    <mergeCell ref="C1452:H1452"/>
    <mergeCell ref="A1453:B1453"/>
    <mergeCell ref="C1453:H1453"/>
    <mergeCell ref="A1454:H1454"/>
    <mergeCell ref="A1455:H1455"/>
    <mergeCell ref="A1464:H1464"/>
    <mergeCell ref="A1465:C1465"/>
    <mergeCell ref="D1465:H1465"/>
    <mergeCell ref="A1466:C1466"/>
    <mergeCell ref="D1466:H1466"/>
    <mergeCell ref="A1467:H1467"/>
    <mergeCell ref="A1468:C1468"/>
    <mergeCell ref="D1468:H1468"/>
    <mergeCell ref="A1469:C1469"/>
    <mergeCell ref="D1469:H1469"/>
    <mergeCell ref="A1470:C1470"/>
    <mergeCell ref="D1470:H1470"/>
    <mergeCell ref="A1471:C1471"/>
    <mergeCell ref="D1471:H1471"/>
    <mergeCell ref="A1472:C1472"/>
    <mergeCell ref="D1472:H1472"/>
    <mergeCell ref="A1473:C1473"/>
    <mergeCell ref="D1473:H1473"/>
    <mergeCell ref="A1474:C1474"/>
    <mergeCell ref="D1474:H1474"/>
    <mergeCell ref="A1475:H1475"/>
    <mergeCell ref="A1476:H1476"/>
    <mergeCell ref="A1477:H1477"/>
    <mergeCell ref="A1478:H1478"/>
    <mergeCell ref="A1479:D1479"/>
    <mergeCell ref="E1479:H1479"/>
    <mergeCell ref="A1480:H1480"/>
    <mergeCell ref="A1483:H1483"/>
    <mergeCell ref="A1484:H1484"/>
    <mergeCell ref="A1485:H1485"/>
    <mergeCell ref="A1486:B1486"/>
    <mergeCell ref="C1486:H1486"/>
    <mergeCell ref="A1487:B1487"/>
    <mergeCell ref="C1487:H1487"/>
    <mergeCell ref="A1488:B1488"/>
    <mergeCell ref="C1488:H1488"/>
    <mergeCell ref="A1489:B1489"/>
    <mergeCell ref="C1489:H1489"/>
    <mergeCell ref="A1490:B1490"/>
    <mergeCell ref="C1490:H1490"/>
    <mergeCell ref="A1491:B1491"/>
    <mergeCell ref="C1491:H1491"/>
    <mergeCell ref="A1492:H1492"/>
    <mergeCell ref="A1493:H1493"/>
    <mergeCell ref="A1502:H1502"/>
    <mergeCell ref="A1503:C1503"/>
    <mergeCell ref="D1503:H1503"/>
    <mergeCell ref="A1504:C1504"/>
    <mergeCell ref="D1504:H1504"/>
    <mergeCell ref="A1505:H1505"/>
    <mergeCell ref="A1506:C1506"/>
    <mergeCell ref="D1506:H1506"/>
    <mergeCell ref="A1507:C1507"/>
    <mergeCell ref="D1507:H1507"/>
    <mergeCell ref="A1508:C1508"/>
    <mergeCell ref="D1508:H1508"/>
    <mergeCell ref="A1509:C1509"/>
    <mergeCell ref="D1509:H1509"/>
    <mergeCell ref="A1510:C1510"/>
    <mergeCell ref="D1510:H1510"/>
    <mergeCell ref="A1511:C1511"/>
    <mergeCell ref="D1511:H1511"/>
    <mergeCell ref="A1512:C1512"/>
    <mergeCell ref="D1512:H1512"/>
    <mergeCell ref="A1513:H1513"/>
    <mergeCell ref="A1514:H1514"/>
    <mergeCell ref="A1515:H1515"/>
    <mergeCell ref="A1516:H1516"/>
    <mergeCell ref="A1517:D1517"/>
    <mergeCell ref="E1517:H1517"/>
    <mergeCell ref="A1518:H1518"/>
    <mergeCell ref="A1521:H1521"/>
    <mergeCell ref="A1522:H1522"/>
    <mergeCell ref="A1523:H1523"/>
    <mergeCell ref="A1524:B1524"/>
    <mergeCell ref="C1524:H1524"/>
    <mergeCell ref="A1525:B1525"/>
    <mergeCell ref="C1525:H1525"/>
    <mergeCell ref="A1526:B1526"/>
    <mergeCell ref="C1526:H1526"/>
    <mergeCell ref="A1527:B1527"/>
    <mergeCell ref="C1527:H1527"/>
    <mergeCell ref="A1528:B1528"/>
    <mergeCell ref="C1528:H1528"/>
    <mergeCell ref="A1529:B1529"/>
    <mergeCell ref="C1529:H1529"/>
    <mergeCell ref="A1530:H1530"/>
    <mergeCell ref="A1531:H1531"/>
    <mergeCell ref="A1540:H1540"/>
    <mergeCell ref="A1541:C1541"/>
    <mergeCell ref="D1541:H1541"/>
    <mergeCell ref="A1542:C1542"/>
    <mergeCell ref="D1542:H1542"/>
    <mergeCell ref="A1543:H1543"/>
    <mergeCell ref="A1544:C1544"/>
    <mergeCell ref="D1544:H1544"/>
    <mergeCell ref="A1545:C1545"/>
    <mergeCell ref="D1545:H1545"/>
    <mergeCell ref="A1546:C1546"/>
    <mergeCell ref="D1546:H1546"/>
    <mergeCell ref="A1547:C1547"/>
    <mergeCell ref="D1547:H1547"/>
    <mergeCell ref="A1548:C1548"/>
    <mergeCell ref="D1548:H1548"/>
    <mergeCell ref="A1549:C1549"/>
    <mergeCell ref="D1549:H1549"/>
    <mergeCell ref="A1550:C1550"/>
    <mergeCell ref="D1550:H1550"/>
    <mergeCell ref="A1551:H1551"/>
    <mergeCell ref="A1552:H1552"/>
    <mergeCell ref="A1553:H1553"/>
    <mergeCell ref="A1554:H1554"/>
    <mergeCell ref="A1555:D1555"/>
    <mergeCell ref="E1555:H1555"/>
    <mergeCell ref="A1556:H1556"/>
    <mergeCell ref="A1559:H1559"/>
    <mergeCell ref="A1560:H1560"/>
    <mergeCell ref="A1561:H1561"/>
    <mergeCell ref="A1562:B1562"/>
    <mergeCell ref="C1562:H1562"/>
    <mergeCell ref="A1563:B1563"/>
    <mergeCell ref="C1563:H1563"/>
    <mergeCell ref="A1564:B1564"/>
    <mergeCell ref="C1564:H1564"/>
    <mergeCell ref="A1565:B1565"/>
    <mergeCell ref="C1565:H1565"/>
    <mergeCell ref="A1566:B1566"/>
    <mergeCell ref="C1566:H1566"/>
    <mergeCell ref="A1567:B1567"/>
    <mergeCell ref="C1567:H1567"/>
    <mergeCell ref="A1568:H1568"/>
    <mergeCell ref="A1569:H1569"/>
    <mergeCell ref="A1578:H1578"/>
    <mergeCell ref="A1579:C1579"/>
    <mergeCell ref="D1579:H1579"/>
    <mergeCell ref="A1580:C1580"/>
    <mergeCell ref="D1580:H1580"/>
    <mergeCell ref="A1581:H1581"/>
    <mergeCell ref="A1582:C1582"/>
    <mergeCell ref="D1582:H1582"/>
    <mergeCell ref="A1583:C1583"/>
    <mergeCell ref="D1583:H1583"/>
    <mergeCell ref="A1584:C1584"/>
    <mergeCell ref="D1584:H1584"/>
    <mergeCell ref="A1585:C1585"/>
    <mergeCell ref="D1585:H1585"/>
    <mergeCell ref="A1586:C1586"/>
    <mergeCell ref="D1586:H1586"/>
    <mergeCell ref="A1587:C1587"/>
    <mergeCell ref="D1587:H1587"/>
    <mergeCell ref="A1588:C1588"/>
    <mergeCell ref="D1588:H1588"/>
    <mergeCell ref="A1589:H1589"/>
    <mergeCell ref="A1590:H1590"/>
    <mergeCell ref="A1591:H1591"/>
    <mergeCell ref="A1592:H1592"/>
    <mergeCell ref="A1593:D1593"/>
    <mergeCell ref="E1593:H1593"/>
    <mergeCell ref="A1594:H1594"/>
    <mergeCell ref="A1597:H1597"/>
    <mergeCell ref="A1598:H1598"/>
    <mergeCell ref="A1599:H1599"/>
    <mergeCell ref="A1600:B1600"/>
    <mergeCell ref="C1600:H1600"/>
    <mergeCell ref="A1601:B1601"/>
    <mergeCell ref="C1601:H1601"/>
    <mergeCell ref="A1602:B1602"/>
    <mergeCell ref="C1602:H1602"/>
    <mergeCell ref="A1603:B1603"/>
    <mergeCell ref="C1603:H1603"/>
    <mergeCell ref="A1604:B1604"/>
    <mergeCell ref="C1604:H1604"/>
    <mergeCell ref="A1605:B1605"/>
    <mergeCell ref="C1605:H1605"/>
    <mergeCell ref="A1606:H1606"/>
    <mergeCell ref="A1607:H1607"/>
    <mergeCell ref="A1616:H1616"/>
    <mergeCell ref="A1617:C1617"/>
    <mergeCell ref="D1617:H1617"/>
    <mergeCell ref="A1618:C1618"/>
    <mergeCell ref="D1618:H1618"/>
    <mergeCell ref="A1619:H1619"/>
    <mergeCell ref="A1620:C1620"/>
    <mergeCell ref="D1620:H1620"/>
    <mergeCell ref="A1621:C1621"/>
    <mergeCell ref="D1621:H1621"/>
    <mergeCell ref="A1622:C1622"/>
    <mergeCell ref="D1622:H1622"/>
    <mergeCell ref="A1623:C1623"/>
    <mergeCell ref="D1623:H1623"/>
    <mergeCell ref="A1624:C1624"/>
    <mergeCell ref="D1624:H1624"/>
    <mergeCell ref="A1625:C1625"/>
    <mergeCell ref="D1625:H1625"/>
    <mergeCell ref="A1626:C1626"/>
    <mergeCell ref="D1626:H1626"/>
    <mergeCell ref="A1627:H1627"/>
    <mergeCell ref="A1628:H1628"/>
    <mergeCell ref="A1629:H1629"/>
    <mergeCell ref="A1630:H1630"/>
    <mergeCell ref="A1631:D1631"/>
    <mergeCell ref="E1631:H1631"/>
    <mergeCell ref="A1632:H1632"/>
    <mergeCell ref="A1635:H1635"/>
    <mergeCell ref="A1636:H1636"/>
    <mergeCell ref="A1637:H1637"/>
    <mergeCell ref="A1638:B1638"/>
    <mergeCell ref="C1638:H1638"/>
    <mergeCell ref="A1639:B1639"/>
    <mergeCell ref="C1639:H1639"/>
    <mergeCell ref="A1640:B1640"/>
    <mergeCell ref="C1640:H1640"/>
    <mergeCell ref="A1641:B1641"/>
    <mergeCell ref="C1641:H1641"/>
    <mergeCell ref="A1642:B1642"/>
    <mergeCell ref="C1642:H1642"/>
    <mergeCell ref="A1643:B1643"/>
    <mergeCell ref="C1643:H1643"/>
    <mergeCell ref="A1644:H1644"/>
    <mergeCell ref="A1645:H1645"/>
    <mergeCell ref="A1654:H1654"/>
    <mergeCell ref="A1655:C1655"/>
    <mergeCell ref="D1655:H1655"/>
    <mergeCell ref="A1656:C1656"/>
    <mergeCell ref="D1656:H1656"/>
    <mergeCell ref="A1657:H1657"/>
    <mergeCell ref="A1658:C1658"/>
    <mergeCell ref="D1658:H1658"/>
    <mergeCell ref="A1659:C1659"/>
    <mergeCell ref="D1659:H1659"/>
    <mergeCell ref="A1660:C1660"/>
    <mergeCell ref="D1660:H1660"/>
    <mergeCell ref="A1661:C1661"/>
    <mergeCell ref="D1661:H1661"/>
    <mergeCell ref="A1662:C1662"/>
    <mergeCell ref="D1662:H1662"/>
    <mergeCell ref="A1663:C1663"/>
    <mergeCell ref="D1663:H1663"/>
    <mergeCell ref="A1664:C1664"/>
    <mergeCell ref="D1664:H1664"/>
    <mergeCell ref="A1665:H1665"/>
    <mergeCell ref="A1666:H1666"/>
    <mergeCell ref="A1667:H1667"/>
    <mergeCell ref="A1668:H1668"/>
    <mergeCell ref="A1669:D1669"/>
    <mergeCell ref="E1669:H1669"/>
    <mergeCell ref="A1670:H1670"/>
    <mergeCell ref="A1673:H1673"/>
    <mergeCell ref="A1674:H1674"/>
    <mergeCell ref="A1675:H1675"/>
    <mergeCell ref="A1676:B1676"/>
    <mergeCell ref="C1676:H1676"/>
    <mergeCell ref="A1677:B1677"/>
    <mergeCell ref="C1677:H1677"/>
    <mergeCell ref="A1678:B1678"/>
    <mergeCell ref="C1678:H1678"/>
    <mergeCell ref="A1679:B1679"/>
    <mergeCell ref="C1679:H1679"/>
    <mergeCell ref="A1680:B1680"/>
    <mergeCell ref="C1680:H1680"/>
    <mergeCell ref="A1681:B1681"/>
    <mergeCell ref="C1681:H1681"/>
    <mergeCell ref="A1682:H1682"/>
    <mergeCell ref="A1683:H1683"/>
    <mergeCell ref="A1692:H1692"/>
    <mergeCell ref="A1693:C1693"/>
    <mergeCell ref="D1693:H1693"/>
    <mergeCell ref="A1694:C1694"/>
    <mergeCell ref="D1694:H1694"/>
    <mergeCell ref="A1695:H1695"/>
    <mergeCell ref="A1696:C1696"/>
    <mergeCell ref="D1696:H1696"/>
    <mergeCell ref="A1697:C1697"/>
    <mergeCell ref="D1697:H1697"/>
    <mergeCell ref="A1698:C1698"/>
    <mergeCell ref="D1698:H1698"/>
    <mergeCell ref="A1699:C1699"/>
    <mergeCell ref="D1699:H1699"/>
    <mergeCell ref="A1700:C1700"/>
    <mergeCell ref="D1700:H1700"/>
    <mergeCell ref="A1701:C1701"/>
    <mergeCell ref="D1701:H1701"/>
    <mergeCell ref="A1702:C1702"/>
    <mergeCell ref="D1702:H1702"/>
    <mergeCell ref="A1703:H1703"/>
    <mergeCell ref="A1704:H1704"/>
    <mergeCell ref="A1705:H1705"/>
    <mergeCell ref="A1706:H1706"/>
    <mergeCell ref="A1707:D1707"/>
    <mergeCell ref="E1707:H1707"/>
    <mergeCell ref="A1708:H1708"/>
    <mergeCell ref="A1711:H1711"/>
    <mergeCell ref="A1712:H1712"/>
    <mergeCell ref="A1713:H1713"/>
    <mergeCell ref="A1714:B1714"/>
    <mergeCell ref="C1714:H1714"/>
    <mergeCell ref="A1715:B1715"/>
    <mergeCell ref="C1715:H1715"/>
    <mergeCell ref="A1716:B1716"/>
    <mergeCell ref="C1716:H1716"/>
    <mergeCell ref="A1717:B1717"/>
    <mergeCell ref="C1717:H1717"/>
    <mergeCell ref="A1718:B1718"/>
    <mergeCell ref="C1718:H1718"/>
    <mergeCell ref="A1719:B1719"/>
    <mergeCell ref="C1719:H1719"/>
    <mergeCell ref="A1720:H1720"/>
    <mergeCell ref="A1721:H1721"/>
    <mergeCell ref="A1730:H1730"/>
    <mergeCell ref="A1731:C1731"/>
    <mergeCell ref="D1731:H1731"/>
    <mergeCell ref="A1732:C1732"/>
    <mergeCell ref="D1732:H1732"/>
    <mergeCell ref="A1733:H1733"/>
    <mergeCell ref="A1734:C1734"/>
    <mergeCell ref="D1734:H1734"/>
    <mergeCell ref="A1735:C1735"/>
    <mergeCell ref="D1735:H1735"/>
    <mergeCell ref="A1736:C1736"/>
    <mergeCell ref="D1736:H1736"/>
    <mergeCell ref="A1737:C1737"/>
    <mergeCell ref="D1737:H1737"/>
    <mergeCell ref="A1738:C1738"/>
    <mergeCell ref="D1738:H1738"/>
    <mergeCell ref="A1739:C1739"/>
    <mergeCell ref="D1739:H1739"/>
    <mergeCell ref="A1740:C1740"/>
    <mergeCell ref="D1740:H1740"/>
    <mergeCell ref="A1741:H1741"/>
    <mergeCell ref="A1742:H1742"/>
    <mergeCell ref="A1743:H1743"/>
    <mergeCell ref="A1744:H1744"/>
    <mergeCell ref="A1745:D1745"/>
    <mergeCell ref="E1745:H1745"/>
    <mergeCell ref="A1746:H1746"/>
    <mergeCell ref="A1749:H1749"/>
    <mergeCell ref="A1750:H1750"/>
    <mergeCell ref="A1751:H1751"/>
    <mergeCell ref="A1752:B1752"/>
    <mergeCell ref="C1752:H1752"/>
    <mergeCell ref="A1753:B1753"/>
    <mergeCell ref="C1753:H1753"/>
    <mergeCell ref="A1754:B1754"/>
    <mergeCell ref="C1754:H1754"/>
    <mergeCell ref="A1755:B1755"/>
    <mergeCell ref="C1755:H1755"/>
    <mergeCell ref="A1756:B1756"/>
    <mergeCell ref="C1756:H1756"/>
    <mergeCell ref="A1757:B1757"/>
    <mergeCell ref="C1757:H1757"/>
    <mergeCell ref="A1758:H1758"/>
    <mergeCell ref="A1759:H1759"/>
    <mergeCell ref="A1768:H1768"/>
    <mergeCell ref="A1769:C1769"/>
    <mergeCell ref="D1769:H1769"/>
    <mergeCell ref="A1770:C1770"/>
    <mergeCell ref="D1770:H1770"/>
    <mergeCell ref="A1771:H1771"/>
    <mergeCell ref="A1772:C1772"/>
    <mergeCell ref="D1772:H1772"/>
    <mergeCell ref="A1773:C1773"/>
    <mergeCell ref="D1773:H1773"/>
    <mergeCell ref="A1774:C1774"/>
    <mergeCell ref="D1774:H1774"/>
    <mergeCell ref="A1775:C1775"/>
    <mergeCell ref="D1775:H1775"/>
    <mergeCell ref="A1776:C1776"/>
    <mergeCell ref="D1776:H1776"/>
    <mergeCell ref="A1777:C1777"/>
    <mergeCell ref="D1777:H1777"/>
    <mergeCell ref="A1778:C1778"/>
    <mergeCell ref="D1778:H1778"/>
    <mergeCell ref="A1779:H1779"/>
    <mergeCell ref="A1780:H1780"/>
    <mergeCell ref="A1781:H1781"/>
    <mergeCell ref="A1782:H1782"/>
    <mergeCell ref="A1783:D1783"/>
    <mergeCell ref="E1783:H1783"/>
    <mergeCell ref="A1784:H1784"/>
    <mergeCell ref="A1787:H1787"/>
    <mergeCell ref="A1788:H1788"/>
    <mergeCell ref="A1789:H1789"/>
    <mergeCell ref="A1790:B1790"/>
    <mergeCell ref="C1790:H1790"/>
    <mergeCell ref="A1791:B1791"/>
    <mergeCell ref="C1791:H1791"/>
    <mergeCell ref="A1792:B1792"/>
    <mergeCell ref="C1792:H1792"/>
    <mergeCell ref="A1793:B1793"/>
    <mergeCell ref="C1793:H1793"/>
    <mergeCell ref="A1794:B1794"/>
    <mergeCell ref="C1794:H1794"/>
    <mergeCell ref="A1795:B1795"/>
    <mergeCell ref="C1795:H1795"/>
    <mergeCell ref="A1796:H1796"/>
    <mergeCell ref="A1797:H1797"/>
    <mergeCell ref="A1806:H1806"/>
    <mergeCell ref="A1807:C1807"/>
    <mergeCell ref="D1807:H1807"/>
    <mergeCell ref="A1808:C1808"/>
    <mergeCell ref="D1808:H1808"/>
    <mergeCell ref="A1809:H1809"/>
    <mergeCell ref="A1810:C1810"/>
    <mergeCell ref="D1810:H1810"/>
    <mergeCell ref="A1811:C1811"/>
    <mergeCell ref="D1811:H1811"/>
    <mergeCell ref="A1812:C1812"/>
    <mergeCell ref="D1812:H1812"/>
    <mergeCell ref="A1813:C1813"/>
    <mergeCell ref="D1813:H1813"/>
    <mergeCell ref="A1814:C1814"/>
    <mergeCell ref="D1814:H1814"/>
    <mergeCell ref="A1815:C1815"/>
    <mergeCell ref="D1815:H1815"/>
    <mergeCell ref="A1816:C1816"/>
    <mergeCell ref="D1816:H1816"/>
    <mergeCell ref="A1817:H1817"/>
    <mergeCell ref="A1818:H1818"/>
    <mergeCell ref="A1819:H1819"/>
    <mergeCell ref="A1820:H1820"/>
    <mergeCell ref="A1821:D1821"/>
    <mergeCell ref="E1821:H1821"/>
    <mergeCell ref="A1822:H1822"/>
    <mergeCell ref="A1825:H1825"/>
    <mergeCell ref="A1826:H1826"/>
    <mergeCell ref="A1827:H1827"/>
    <mergeCell ref="A1828:B1828"/>
    <mergeCell ref="C1828:H1828"/>
    <mergeCell ref="A1829:B1829"/>
    <mergeCell ref="C1829:H1829"/>
    <mergeCell ref="A1830:B1830"/>
    <mergeCell ref="C1830:H1830"/>
    <mergeCell ref="A1831:B1831"/>
    <mergeCell ref="C1831:H1831"/>
    <mergeCell ref="A1832:B1832"/>
    <mergeCell ref="C1832:H1832"/>
    <mergeCell ref="A1833:B1833"/>
    <mergeCell ref="C1833:H1833"/>
    <mergeCell ref="A1834:H1834"/>
    <mergeCell ref="A1835:H1835"/>
    <mergeCell ref="A1844:H1844"/>
    <mergeCell ref="A1845:C1845"/>
    <mergeCell ref="D1845:H1845"/>
    <mergeCell ref="A1846:C1846"/>
    <mergeCell ref="D1846:H1846"/>
    <mergeCell ref="A1847:H1847"/>
    <mergeCell ref="A1848:C1848"/>
    <mergeCell ref="D1848:H1848"/>
    <mergeCell ref="A1849:C1849"/>
    <mergeCell ref="D1849:H1849"/>
    <mergeCell ref="A1850:C1850"/>
    <mergeCell ref="D1850:H1850"/>
    <mergeCell ref="A1851:C1851"/>
    <mergeCell ref="D1851:H1851"/>
    <mergeCell ref="A1852:C1852"/>
    <mergeCell ref="D1852:H1852"/>
    <mergeCell ref="A1853:C1853"/>
    <mergeCell ref="D1853:H1853"/>
    <mergeCell ref="A1854:C1854"/>
    <mergeCell ref="D1854:H1854"/>
    <mergeCell ref="A1855:H1855"/>
    <mergeCell ref="A1856:H1856"/>
    <mergeCell ref="A1857:H1857"/>
    <mergeCell ref="A1858:H1858"/>
    <mergeCell ref="A1859:D1859"/>
    <mergeCell ref="E1859:H1859"/>
    <mergeCell ref="A1860:H1860"/>
    <mergeCell ref="A1863:H1863"/>
    <mergeCell ref="A1864:H1864"/>
    <mergeCell ref="A1865:H1865"/>
    <mergeCell ref="A1866:B1866"/>
    <mergeCell ref="C1866:H1866"/>
    <mergeCell ref="A1867:B1867"/>
    <mergeCell ref="C1867:H1867"/>
    <mergeCell ref="A1868:B1868"/>
    <mergeCell ref="C1868:H1868"/>
    <mergeCell ref="A1869:B1869"/>
    <mergeCell ref="C1869:H1869"/>
    <mergeCell ref="A1870:B1870"/>
    <mergeCell ref="C1870:H1870"/>
    <mergeCell ref="A1871:B1871"/>
    <mergeCell ref="C1871:H1871"/>
    <mergeCell ref="A1872:H1872"/>
    <mergeCell ref="A1873:H1873"/>
    <mergeCell ref="A1882:H1882"/>
    <mergeCell ref="A1883:C1883"/>
    <mergeCell ref="D1883:H1883"/>
    <mergeCell ref="A1884:C1884"/>
    <mergeCell ref="D1884:H1884"/>
    <mergeCell ref="A1885:H1885"/>
    <mergeCell ref="A1886:C1886"/>
    <mergeCell ref="D1886:H1886"/>
    <mergeCell ref="A1887:C1887"/>
    <mergeCell ref="D1887:H1887"/>
    <mergeCell ref="A1888:C1888"/>
    <mergeCell ref="D1888:H1888"/>
    <mergeCell ref="A1889:C1889"/>
    <mergeCell ref="D1889:H1889"/>
    <mergeCell ref="A1890:C1890"/>
    <mergeCell ref="D1890:H1890"/>
    <mergeCell ref="A1891:C1891"/>
    <mergeCell ref="D1891:H1891"/>
    <mergeCell ref="A1892:C1892"/>
    <mergeCell ref="D1892:H1892"/>
    <mergeCell ref="A1893:H1893"/>
    <mergeCell ref="A1894:H1894"/>
    <mergeCell ref="A1895:H1895"/>
    <mergeCell ref="A1896:H1896"/>
    <mergeCell ref="A1897:D1897"/>
    <mergeCell ref="E1897:H1897"/>
    <mergeCell ref="A1898:H1898"/>
    <mergeCell ref="A1901:H1901"/>
    <mergeCell ref="A1902:H1902"/>
    <mergeCell ref="A1903:H1903"/>
    <mergeCell ref="A1904:B1904"/>
    <mergeCell ref="C1904:H1904"/>
    <mergeCell ref="A1905:B1905"/>
    <mergeCell ref="C1905:H1905"/>
    <mergeCell ref="A1906:B1906"/>
    <mergeCell ref="C1906:H1906"/>
    <mergeCell ref="A1907:B1907"/>
    <mergeCell ref="C1907:H1907"/>
    <mergeCell ref="A1908:B1908"/>
    <mergeCell ref="C1908:H1908"/>
    <mergeCell ref="A1909:B1909"/>
    <mergeCell ref="C1909:H1909"/>
    <mergeCell ref="A1910:H1910"/>
    <mergeCell ref="A1911:H1911"/>
    <mergeCell ref="A1920:H1920"/>
    <mergeCell ref="A1921:C1921"/>
    <mergeCell ref="D1921:H1921"/>
    <mergeCell ref="A1922:C1922"/>
    <mergeCell ref="D1922:H1922"/>
    <mergeCell ref="A1923:H1923"/>
    <mergeCell ref="A1924:C1924"/>
    <mergeCell ref="D1924:H1924"/>
    <mergeCell ref="A1925:C1925"/>
    <mergeCell ref="D1925:H1925"/>
    <mergeCell ref="A1926:C1926"/>
    <mergeCell ref="D1926:H1926"/>
    <mergeCell ref="A1927:C1927"/>
    <mergeCell ref="D1927:H1927"/>
    <mergeCell ref="A1928:C1928"/>
    <mergeCell ref="D1928:H1928"/>
    <mergeCell ref="A1929:C1929"/>
    <mergeCell ref="D1929:H1929"/>
    <mergeCell ref="A1930:C1930"/>
    <mergeCell ref="D1930:H1930"/>
    <mergeCell ref="A1931:H1931"/>
    <mergeCell ref="A1932:H1932"/>
    <mergeCell ref="A1933:H1933"/>
    <mergeCell ref="A1934:H1934"/>
    <mergeCell ref="A1935:D1935"/>
    <mergeCell ref="E1935:H1935"/>
    <mergeCell ref="A1936:H1936"/>
    <mergeCell ref="A1939:H1939"/>
    <mergeCell ref="A1940:H1940"/>
    <mergeCell ref="A1941:H1941"/>
    <mergeCell ref="A1942:B1942"/>
    <mergeCell ref="C1942:H1942"/>
    <mergeCell ref="A1943:B1943"/>
    <mergeCell ref="C1943:H1943"/>
    <mergeCell ref="A1944:B1944"/>
    <mergeCell ref="C1944:H1944"/>
    <mergeCell ref="A1945:B1945"/>
    <mergeCell ref="C1945:H1945"/>
    <mergeCell ref="A1946:B1946"/>
    <mergeCell ref="C1946:H1946"/>
    <mergeCell ref="A1947:B1947"/>
    <mergeCell ref="C1947:H1947"/>
    <mergeCell ref="A1948:H1948"/>
    <mergeCell ref="A1949:H1949"/>
    <mergeCell ref="A1958:H1958"/>
    <mergeCell ref="A1959:C1959"/>
    <mergeCell ref="D1959:H1959"/>
    <mergeCell ref="A1960:C1960"/>
    <mergeCell ref="D1960:H1960"/>
    <mergeCell ref="A1961:H1961"/>
    <mergeCell ref="A1962:C1962"/>
    <mergeCell ref="D1962:H1962"/>
    <mergeCell ref="A1963:C1963"/>
    <mergeCell ref="D1963:H1963"/>
    <mergeCell ref="A1964:C1964"/>
    <mergeCell ref="D1964:H1964"/>
    <mergeCell ref="A1965:C1965"/>
    <mergeCell ref="D1965:H1965"/>
    <mergeCell ref="A1966:C1966"/>
    <mergeCell ref="D1966:H1966"/>
    <mergeCell ref="A1967:C1967"/>
    <mergeCell ref="D1967:H1967"/>
    <mergeCell ref="A1968:C1968"/>
    <mergeCell ref="D1968:H1968"/>
    <mergeCell ref="A1969:H1969"/>
    <mergeCell ref="A1970:H1970"/>
    <mergeCell ref="A1971:H1971"/>
    <mergeCell ref="A1972:H1972"/>
    <mergeCell ref="A1973:D1973"/>
    <mergeCell ref="E1973:H1973"/>
    <mergeCell ref="A1974:H1974"/>
    <mergeCell ref="A1977:H1977"/>
    <mergeCell ref="A1978:H1978"/>
    <mergeCell ref="A1979:H1979"/>
    <mergeCell ref="A1980:B1980"/>
    <mergeCell ref="C1980:H1980"/>
    <mergeCell ref="A1981:B1981"/>
    <mergeCell ref="C1981:H1981"/>
    <mergeCell ref="A1982:B1982"/>
    <mergeCell ref="C1982:H1982"/>
    <mergeCell ref="A1983:B1983"/>
    <mergeCell ref="C1983:H1983"/>
    <mergeCell ref="A1984:B1984"/>
    <mergeCell ref="C1984:H1984"/>
    <mergeCell ref="A1985:B1985"/>
    <mergeCell ref="C1985:H1985"/>
    <mergeCell ref="A1986:H1986"/>
    <mergeCell ref="A1987:H1987"/>
    <mergeCell ref="A1996:H1996"/>
    <mergeCell ref="A1997:C1997"/>
    <mergeCell ref="D1997:H1997"/>
    <mergeCell ref="A1998:C1998"/>
    <mergeCell ref="D1998:H1998"/>
    <mergeCell ref="A1999:H1999"/>
    <mergeCell ref="A2000:C2000"/>
    <mergeCell ref="D2000:H2000"/>
    <mergeCell ref="A2001:C2001"/>
    <mergeCell ref="D2001:H2001"/>
    <mergeCell ref="A2002:C2002"/>
    <mergeCell ref="D2002:H2002"/>
    <mergeCell ref="A2003:C2003"/>
    <mergeCell ref="D2003:H2003"/>
    <mergeCell ref="A2004:C2004"/>
    <mergeCell ref="D2004:H2004"/>
    <mergeCell ref="A2005:C2005"/>
    <mergeCell ref="D2005:H2005"/>
    <mergeCell ref="A2006:C2006"/>
    <mergeCell ref="D2006:H2006"/>
    <mergeCell ref="A2007:H2007"/>
    <mergeCell ref="A2008:H2008"/>
    <mergeCell ref="A2009:H2009"/>
    <mergeCell ref="A2010:H2010"/>
    <mergeCell ref="A2011:D2011"/>
    <mergeCell ref="E2011:H2011"/>
    <mergeCell ref="A2012:H2012"/>
    <mergeCell ref="A2015:H2015"/>
    <mergeCell ref="A2016:H2016"/>
    <mergeCell ref="A2017:H2017"/>
    <mergeCell ref="A2018:B2018"/>
    <mergeCell ref="C2018:H2018"/>
    <mergeCell ref="A2019:B2019"/>
    <mergeCell ref="C2019:H2019"/>
    <mergeCell ref="A2020:B2020"/>
    <mergeCell ref="C2020:H2020"/>
    <mergeCell ref="A2021:B2021"/>
    <mergeCell ref="C2021:H2021"/>
    <mergeCell ref="A2022:B2022"/>
    <mergeCell ref="C2022:H2022"/>
    <mergeCell ref="A2023:B2023"/>
    <mergeCell ref="C2023:H2023"/>
    <mergeCell ref="A2024:H2024"/>
    <mergeCell ref="A2025:H2025"/>
    <mergeCell ref="A2034:H2034"/>
    <mergeCell ref="A2035:C2035"/>
    <mergeCell ref="D2035:H2035"/>
    <mergeCell ref="A2036:C2036"/>
    <mergeCell ref="D2036:H2036"/>
    <mergeCell ref="A2037:H2037"/>
    <mergeCell ref="A2038:C2038"/>
    <mergeCell ref="D2038:H2038"/>
    <mergeCell ref="A2039:C2039"/>
    <mergeCell ref="D2039:H2039"/>
    <mergeCell ref="A2040:C2040"/>
    <mergeCell ref="D2040:H2040"/>
    <mergeCell ref="A2041:C2041"/>
    <mergeCell ref="D2041:H2041"/>
    <mergeCell ref="A2042:C2042"/>
    <mergeCell ref="D2042:H2042"/>
    <mergeCell ref="A2043:C2043"/>
    <mergeCell ref="D2043:H2043"/>
    <mergeCell ref="A2044:C2044"/>
    <mergeCell ref="D2044:H2044"/>
    <mergeCell ref="A2045:H2045"/>
    <mergeCell ref="A2046:H2046"/>
    <mergeCell ref="A2047:H2047"/>
    <mergeCell ref="A2048:H2048"/>
    <mergeCell ref="A2049:D2049"/>
    <mergeCell ref="E2049:H2049"/>
    <mergeCell ref="A2050:H2050"/>
    <mergeCell ref="A2053:H2053"/>
    <mergeCell ref="A2054:H2054"/>
    <mergeCell ref="A2055:H2055"/>
    <mergeCell ref="A2056:B2056"/>
    <mergeCell ref="C2056:H2056"/>
    <mergeCell ref="A2057:B2057"/>
    <mergeCell ref="C2057:H2057"/>
    <mergeCell ref="A2058:B2058"/>
    <mergeCell ref="C2058:H2058"/>
    <mergeCell ref="A2059:B2059"/>
    <mergeCell ref="C2059:H2059"/>
    <mergeCell ref="A2060:B2060"/>
    <mergeCell ref="C2060:H2060"/>
    <mergeCell ref="A2061:B2061"/>
    <mergeCell ref="C2061:H2061"/>
    <mergeCell ref="A2062:H2062"/>
    <mergeCell ref="A2063:H2063"/>
    <mergeCell ref="A2072:H2072"/>
    <mergeCell ref="A2073:C2073"/>
    <mergeCell ref="D2073:H2073"/>
    <mergeCell ref="A2074:C2074"/>
    <mergeCell ref="D2074:H2074"/>
    <mergeCell ref="A2075:H2075"/>
    <mergeCell ref="A2076:C2076"/>
    <mergeCell ref="D2076:H2076"/>
    <mergeCell ref="A2077:C2077"/>
    <mergeCell ref="D2077:H2077"/>
    <mergeCell ref="A2078:C2078"/>
    <mergeCell ref="D2078:H2078"/>
    <mergeCell ref="A2079:C2079"/>
    <mergeCell ref="D2079:H2079"/>
    <mergeCell ref="A2080:C2080"/>
    <mergeCell ref="D2080:H2080"/>
    <mergeCell ref="A2081:C2081"/>
    <mergeCell ref="D2081:H2081"/>
    <mergeCell ref="A2082:C2082"/>
    <mergeCell ref="D2082:H2082"/>
    <mergeCell ref="A2083:H2083"/>
    <mergeCell ref="A2084:H2084"/>
    <mergeCell ref="A2085:H2085"/>
    <mergeCell ref="A2086:H2086"/>
    <mergeCell ref="A2087:D2087"/>
    <mergeCell ref="E2087:H2087"/>
    <mergeCell ref="A2088:H2088"/>
    <mergeCell ref="A2091:H2091"/>
    <mergeCell ref="A2092:H2092"/>
    <mergeCell ref="A2093:H2093"/>
    <mergeCell ref="A2094:B2094"/>
    <mergeCell ref="C2094:H2094"/>
    <mergeCell ref="A2095:B2095"/>
    <mergeCell ref="C2095:H2095"/>
    <mergeCell ref="A2096:B2096"/>
    <mergeCell ref="C2096:H2096"/>
    <mergeCell ref="A2097:B2097"/>
    <mergeCell ref="C2097:H2097"/>
    <mergeCell ref="A2098:B2098"/>
    <mergeCell ref="C2098:H2098"/>
    <mergeCell ref="A2099:B2099"/>
    <mergeCell ref="C2099:H2099"/>
    <mergeCell ref="A2100:H2100"/>
    <mergeCell ref="A2101:H2101"/>
    <mergeCell ref="A2110:H2110"/>
    <mergeCell ref="A2111:C2111"/>
    <mergeCell ref="D2111:H2111"/>
    <mergeCell ref="A2112:C2112"/>
    <mergeCell ref="D2112:H2112"/>
    <mergeCell ref="A2113:H2113"/>
    <mergeCell ref="A2114:C2114"/>
    <mergeCell ref="D2114:H2114"/>
    <mergeCell ref="A2115:C2115"/>
    <mergeCell ref="D2115:H2115"/>
    <mergeCell ref="A2116:C2116"/>
    <mergeCell ref="D2116:H2116"/>
    <mergeCell ref="A2117:C2117"/>
    <mergeCell ref="D2117:H2117"/>
    <mergeCell ref="A2118:C2118"/>
    <mergeCell ref="D2118:H2118"/>
    <mergeCell ref="A2119:C2119"/>
    <mergeCell ref="D2119:H2119"/>
    <mergeCell ref="A2120:C2120"/>
    <mergeCell ref="D2120:H2120"/>
    <mergeCell ref="A2121:H2121"/>
    <mergeCell ref="A2122:H2122"/>
    <mergeCell ref="A2123:H2123"/>
    <mergeCell ref="A2124:H2124"/>
    <mergeCell ref="A2125:D2125"/>
    <mergeCell ref="E2125:H2125"/>
    <mergeCell ref="A2126:H2126"/>
    <mergeCell ref="A2129:H2129"/>
    <mergeCell ref="A2130:H2130"/>
    <mergeCell ref="A2131:H2131"/>
    <mergeCell ref="A2132:B2132"/>
    <mergeCell ref="C2132:H2132"/>
    <mergeCell ref="A2133:B2133"/>
    <mergeCell ref="C2133:H2133"/>
    <mergeCell ref="A2134:B2134"/>
    <mergeCell ref="C2134:H2134"/>
    <mergeCell ref="A2135:B2135"/>
    <mergeCell ref="C2135:H2135"/>
    <mergeCell ref="A2136:B2136"/>
    <mergeCell ref="C2136:H2136"/>
    <mergeCell ref="A2137:B2137"/>
    <mergeCell ref="C2137:H2137"/>
    <mergeCell ref="A2138:H2138"/>
    <mergeCell ref="A2139:H2139"/>
    <mergeCell ref="A2148:H2148"/>
    <mergeCell ref="A2149:C2149"/>
    <mergeCell ref="D2149:H2149"/>
    <mergeCell ref="A2150:C2150"/>
    <mergeCell ref="D2150:H2150"/>
    <mergeCell ref="A2151:H2151"/>
    <mergeCell ref="A2152:C2152"/>
    <mergeCell ref="D2152:H2152"/>
    <mergeCell ref="A2153:C2153"/>
    <mergeCell ref="D2153:H2153"/>
    <mergeCell ref="A2154:C2154"/>
    <mergeCell ref="D2154:H2154"/>
    <mergeCell ref="A2155:C2155"/>
    <mergeCell ref="D2155:H2155"/>
    <mergeCell ref="A2156:C2156"/>
    <mergeCell ref="D2156:H2156"/>
    <mergeCell ref="A2157:C2157"/>
    <mergeCell ref="D2157:H2157"/>
    <mergeCell ref="A2158:C2158"/>
    <mergeCell ref="D2158:H2158"/>
    <mergeCell ref="A2159:H2159"/>
    <mergeCell ref="A2160:H2160"/>
    <mergeCell ref="A2161:H2161"/>
    <mergeCell ref="A2162:H2162"/>
    <mergeCell ref="A2163:D2163"/>
    <mergeCell ref="E2163:H2163"/>
    <mergeCell ref="A2164:H2164"/>
    <mergeCell ref="A2167:H2167"/>
    <mergeCell ref="A2168:H2168"/>
    <mergeCell ref="A2169:H2169"/>
    <mergeCell ref="A2170:B2170"/>
    <mergeCell ref="C2170:H2170"/>
    <mergeCell ref="A2171:B2171"/>
    <mergeCell ref="C2171:H2171"/>
    <mergeCell ref="A2172:B2172"/>
    <mergeCell ref="C2172:H2172"/>
    <mergeCell ref="A2173:B2173"/>
    <mergeCell ref="C2173:H2173"/>
    <mergeCell ref="A2174:B2174"/>
    <mergeCell ref="C2174:H2174"/>
    <mergeCell ref="A2175:B2175"/>
    <mergeCell ref="C2175:H2175"/>
    <mergeCell ref="A2176:H2176"/>
    <mergeCell ref="A2177:H2177"/>
    <mergeCell ref="A2186:H2186"/>
    <mergeCell ref="A2187:C2187"/>
    <mergeCell ref="D2187:H2187"/>
    <mergeCell ref="A2188:C2188"/>
    <mergeCell ref="D2188:H2188"/>
    <mergeCell ref="A2189:H2189"/>
    <mergeCell ref="A2190:C2190"/>
    <mergeCell ref="D2190:H2190"/>
    <mergeCell ref="A2191:C2191"/>
    <mergeCell ref="D2191:H2191"/>
    <mergeCell ref="A2192:C2192"/>
    <mergeCell ref="D2192:H2192"/>
    <mergeCell ref="A2193:C2193"/>
    <mergeCell ref="D2193:H2193"/>
    <mergeCell ref="A2194:C2194"/>
    <mergeCell ref="D2194:H2194"/>
    <mergeCell ref="A2195:C2195"/>
    <mergeCell ref="D2195:H2195"/>
    <mergeCell ref="A2196:C2196"/>
    <mergeCell ref="D2196:H2196"/>
    <mergeCell ref="A2197:H2197"/>
    <mergeCell ref="A2198:H2198"/>
    <mergeCell ref="A2199:H2199"/>
    <mergeCell ref="A2200:H2200"/>
    <mergeCell ref="A2201:D2201"/>
    <mergeCell ref="E2201:H2201"/>
    <mergeCell ref="A2202:H2202"/>
    <mergeCell ref="A2205:H2205"/>
    <mergeCell ref="A2206:H2206"/>
    <mergeCell ref="A2207:H2207"/>
    <mergeCell ref="A2208:B2208"/>
    <mergeCell ref="C2208:H2208"/>
    <mergeCell ref="A2209:B2209"/>
    <mergeCell ref="C2209:H2209"/>
    <mergeCell ref="A2210:B2210"/>
    <mergeCell ref="C2210:H2210"/>
    <mergeCell ref="A2211:B2211"/>
    <mergeCell ref="C2211:H2211"/>
    <mergeCell ref="A2212:B2212"/>
    <mergeCell ref="C2212:H2212"/>
    <mergeCell ref="A2213:B2213"/>
    <mergeCell ref="C2213:H2213"/>
    <mergeCell ref="A2214:H2214"/>
    <mergeCell ref="A2215:H2215"/>
    <mergeCell ref="A2224:H2224"/>
    <mergeCell ref="A2225:C2225"/>
    <mergeCell ref="D2225:H2225"/>
    <mergeCell ref="A2226:C2226"/>
    <mergeCell ref="D2226:H2226"/>
    <mergeCell ref="A2227:H2227"/>
    <mergeCell ref="A2228:C2228"/>
    <mergeCell ref="D2228:H2228"/>
    <mergeCell ref="A2229:C2229"/>
    <mergeCell ref="D2229:H2229"/>
    <mergeCell ref="A2230:C2230"/>
    <mergeCell ref="D2230:H2230"/>
    <mergeCell ref="A2231:C2231"/>
    <mergeCell ref="D2231:H2231"/>
    <mergeCell ref="A2232:C2232"/>
    <mergeCell ref="D2232:H2232"/>
    <mergeCell ref="A2233:C2233"/>
    <mergeCell ref="D2233:H2233"/>
    <mergeCell ref="A2234:C2234"/>
    <mergeCell ref="D2234:H2234"/>
    <mergeCell ref="A2235:H2235"/>
    <mergeCell ref="A2236:H2236"/>
    <mergeCell ref="A2237:H2237"/>
    <mergeCell ref="A2238:H2238"/>
    <mergeCell ref="A2239:D2239"/>
    <mergeCell ref="E2239:H2239"/>
    <mergeCell ref="A2240:H2240"/>
  </mergeCells>
  <printOptions headings="false" gridLines="false" gridLinesSet="true" horizontalCentered="true" verticalCentered="false"/>
  <pageMargins left="0.25" right="0.25" top="0.3" bottom="0.3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&amp;CProject Nura | DRAFT | Halaman &amp;P / &amp;N</oddFooter>
  </headerFooter>
  <rowBreaks count="58" manualBreakCount="58">
    <brk id="38" man="true" max="16383" min="0"/>
    <brk id="76" man="true" max="16383" min="0"/>
    <brk id="114" man="true" max="16383" min="0"/>
    <brk id="152" man="true" max="16383" min="0"/>
    <brk id="190" man="true" max="16383" min="0"/>
    <brk id="228" man="true" max="16383" min="0"/>
    <brk id="266" man="true" max="16383" min="0"/>
    <brk id="304" man="true" max="16383" min="0"/>
    <brk id="342" man="true" max="16383" min="0"/>
    <brk id="380" man="true" max="16383" min="0"/>
    <brk id="418" man="true" max="16383" min="0"/>
    <brk id="456" man="true" max="16383" min="0"/>
    <brk id="494" man="true" max="16383" min="0"/>
    <brk id="532" man="true" max="16383" min="0"/>
    <brk id="570" man="true" max="16383" min="0"/>
    <brk id="608" man="true" max="16383" min="0"/>
    <brk id="646" man="true" max="16383" min="0"/>
    <brk id="684" man="true" max="16383" min="0"/>
    <brk id="722" man="true" max="16383" min="0"/>
    <brk id="760" man="true" max="16383" min="0"/>
    <brk id="798" man="true" max="16383" min="0"/>
    <brk id="836" man="true" max="16383" min="0"/>
    <brk id="874" man="true" max="16383" min="0"/>
    <brk id="912" man="true" max="16383" min="0"/>
    <brk id="950" man="true" max="16383" min="0"/>
    <brk id="988" man="true" max="16383" min="0"/>
    <brk id="1026" man="true" max="16383" min="0"/>
    <brk id="1064" man="true" max="16383" min="0"/>
    <brk id="1102" man="true" max="16383" min="0"/>
    <brk id="1140" man="true" max="16383" min="0"/>
    <brk id="1178" man="true" max="16383" min="0"/>
    <brk id="1216" man="true" max="16383" min="0"/>
    <brk id="1254" man="true" max="16383" min="0"/>
    <brk id="1292" man="true" max="16383" min="0"/>
    <brk id="1330" man="true" max="16383" min="0"/>
    <brk id="1368" man="true" max="16383" min="0"/>
    <brk id="1406" man="true" max="16383" min="0"/>
    <brk id="1444" man="true" max="16383" min="0"/>
    <brk id="1482" man="true" max="16383" min="0"/>
    <brk id="1520" man="true" max="16383" min="0"/>
    <brk id="1558" man="true" max="16383" min="0"/>
    <brk id="1596" man="true" max="16383" min="0"/>
    <brk id="1634" man="true" max="16383" min="0"/>
    <brk id="1672" man="true" max="16383" min="0"/>
    <brk id="1710" man="true" max="16383" min="0"/>
    <brk id="1748" man="true" max="16383" min="0"/>
    <brk id="1786" man="true" max="16383" min="0"/>
    <brk id="1824" man="true" max="16383" min="0"/>
    <brk id="1862" man="true" max="16383" min="0"/>
    <brk id="1900" man="true" max="16383" min="0"/>
    <brk id="1938" man="true" max="16383" min="0"/>
    <brk id="1976" man="true" max="16383" min="0"/>
    <brk id="2014" man="true" max="16383" min="0"/>
    <brk id="2052" man="true" max="16383" min="0"/>
    <brk id="2090" man="true" max="16383" min="0"/>
    <brk id="2128" man="true" max="16383" min="0"/>
    <brk id="2166" man="true" max="16383" min="0"/>
    <brk id="2204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22"/>
  </cols>
  <sheetData>
    <row r="1" customFormat="false" ht="33.75" hidden="false" customHeight="true" outlineLevel="0" collapsed="false">
      <c r="A1" s="1" t="s">
        <v>36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</row>
    <row r="2" customFormat="false" ht="15" hidden="false" customHeight="false" outlineLevel="0" collapsed="false">
      <c r="A2" s="2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5"/>
      <c r="R2" s="15"/>
    </row>
    <row r="3" customFormat="false" ht="15" hidden="false" customHeight="false" outlineLevel="0" collapsed="false">
      <c r="A3" s="2" t="s">
        <v>64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5"/>
      <c r="R3" s="15"/>
    </row>
    <row r="4" customFormat="false" ht="15" hidden="false" customHeight="false" outlineLevel="0" collapsed="false">
      <c r="A4" s="2" t="s">
        <v>67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"/>
      <c r="R4" s="15"/>
    </row>
    <row r="5" customFormat="false" ht="15" hidden="false" customHeight="false" outlineLevel="0" collapsed="false">
      <c r="A5" s="2" t="s">
        <v>70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5"/>
      <c r="R5" s="15"/>
    </row>
    <row r="6" customFormat="false" ht="15" hidden="false" customHeight="false" outlineLevel="0" collapsed="false">
      <c r="A6" s="2" t="s">
        <v>72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5"/>
      <c r="R6" s="15"/>
    </row>
    <row r="7" customFormat="false" ht="15" hidden="false" customHeight="false" outlineLevel="0" collapsed="false">
      <c r="A7" s="2" t="s">
        <v>76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5"/>
      <c r="R7" s="15"/>
    </row>
    <row r="8" customFormat="false" ht="15" hidden="false" customHeight="false" outlineLevel="0" collapsed="false">
      <c r="A8" s="2" t="s">
        <v>78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5"/>
      <c r="R8" s="15"/>
    </row>
    <row r="9" customFormat="false" ht="15" hidden="false" customHeight="false" outlineLevel="0" collapsed="false">
      <c r="A9" s="2" t="s">
        <v>81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5"/>
      <c r="R9" s="15"/>
    </row>
    <row r="10" customFormat="false" ht="15" hidden="false" customHeight="false" outlineLevel="0" collapsed="false">
      <c r="A10" s="2" t="s">
        <v>86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5"/>
      <c r="R10" s="15"/>
    </row>
    <row r="11" customFormat="false" ht="15" hidden="false" customHeight="false" outlineLevel="0" collapsed="false">
      <c r="A11" s="2" t="s">
        <v>88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5"/>
      <c r="R11" s="15"/>
    </row>
    <row r="12" customFormat="false" ht="15" hidden="false" customHeight="false" outlineLevel="0" collapsed="false">
      <c r="A12" s="2" t="s">
        <v>91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"/>
      <c r="R12" s="15"/>
    </row>
    <row r="13" customFormat="false" ht="15" hidden="false" customHeight="false" outlineLevel="0" collapsed="false">
      <c r="A13" s="2" t="s">
        <v>96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5"/>
      <c r="R13" s="15"/>
    </row>
    <row r="14" customFormat="false" ht="15" hidden="false" customHeight="false" outlineLevel="0" collapsed="false">
      <c r="A14" s="2" t="s">
        <v>98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5"/>
      <c r="R14" s="15"/>
    </row>
    <row r="15" customFormat="false" ht="15" hidden="false" customHeight="false" outlineLevel="0" collapsed="false">
      <c r="A15" s="2" t="s">
        <v>101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5"/>
      <c r="R15" s="15"/>
    </row>
    <row r="16" customFormat="false" ht="15" hidden="false" customHeight="false" outlineLevel="0" collapsed="false">
      <c r="A16" s="2" t="s">
        <v>104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5"/>
      <c r="R16" s="15"/>
    </row>
    <row r="17" customFormat="false" ht="15" hidden="false" customHeight="false" outlineLevel="0" collapsed="false">
      <c r="A17" s="2" t="s">
        <v>106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5"/>
      <c r="R17" s="15"/>
    </row>
    <row r="18" customFormat="false" ht="15" hidden="false" customHeight="false" outlineLevel="0" collapsed="false">
      <c r="A18" s="2" t="s">
        <v>108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5"/>
      <c r="R18" s="15"/>
    </row>
    <row r="19" customFormat="false" ht="15" hidden="false" customHeight="false" outlineLevel="0" collapsed="false">
      <c r="A19" s="2" t="s">
        <v>110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5"/>
      <c r="R19" s="15"/>
    </row>
    <row r="20" customFormat="false" ht="15" hidden="false" customHeight="false" outlineLevel="0" collapsed="false">
      <c r="A20" s="2" t="s">
        <v>112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5"/>
      <c r="R20" s="15"/>
    </row>
    <row r="21" customFormat="false" ht="15" hidden="false" customHeight="false" outlineLevel="0" collapsed="false">
      <c r="A21" s="2" t="s">
        <v>114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5"/>
      <c r="R21" s="15"/>
    </row>
    <row r="22" customFormat="false" ht="15" hidden="false" customHeight="false" outlineLevel="0" collapsed="false">
      <c r="A22" s="2" t="s">
        <v>117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5"/>
      <c r="R22" s="15"/>
    </row>
    <row r="23" customFormat="false" ht="15" hidden="false" customHeight="false" outlineLevel="0" collapsed="false">
      <c r="A23" s="2" t="s">
        <v>119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5"/>
      <c r="R23" s="15"/>
    </row>
    <row r="24" customFormat="false" ht="15" hidden="false" customHeight="false" outlineLevel="0" collapsed="false">
      <c r="A24" s="2" t="s">
        <v>121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"/>
      <c r="R24" s="15"/>
    </row>
    <row r="25" customFormat="false" ht="15" hidden="false" customHeight="false" outlineLevel="0" collapsed="false">
      <c r="A25" s="2" t="s">
        <v>124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"/>
      <c r="R25" s="15"/>
    </row>
    <row r="26" customFormat="false" ht="15" hidden="false" customHeight="false" outlineLevel="0" collapsed="false">
      <c r="A26" s="2" t="s">
        <v>127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"/>
      <c r="R26" s="15"/>
    </row>
    <row r="27" customFormat="false" ht="15" hidden="false" customHeight="false" outlineLevel="0" collapsed="false">
      <c r="A27" s="2" t="s">
        <v>132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"/>
      <c r="R27" s="15"/>
    </row>
    <row r="28" customFormat="false" ht="15" hidden="false" customHeight="false" outlineLevel="0" collapsed="false">
      <c r="A28" s="2" t="s">
        <v>134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5"/>
      <c r="R28" s="15"/>
    </row>
    <row r="29" customFormat="false" ht="15" hidden="false" customHeight="false" outlineLevel="0" collapsed="false">
      <c r="A29" s="2" t="s">
        <v>136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5"/>
      <c r="R29" s="15"/>
    </row>
    <row r="30" customFormat="false" ht="15" hidden="false" customHeight="false" outlineLevel="0" collapsed="false">
      <c r="A30" s="2" t="s">
        <v>138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5"/>
      <c r="R30" s="15"/>
    </row>
    <row r="31" customFormat="false" ht="15" hidden="false" customHeight="false" outlineLevel="0" collapsed="false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5"/>
      <c r="R31" s="15"/>
    </row>
    <row r="32" customFormat="false" ht="15" hidden="false" customHeight="false" outlineLevel="0" collapsed="false">
      <c r="A32" s="2" t="s">
        <v>142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5"/>
      <c r="R32" s="15"/>
    </row>
    <row r="33" customFormat="false" ht="15" hidden="false" customHeight="false" outlineLevel="0" collapsed="false">
      <c r="A33" s="2" t="s">
        <v>144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5"/>
      <c r="R33" s="15"/>
    </row>
    <row r="34" customFormat="false" ht="15" hidden="false" customHeight="false" outlineLevel="0" collapsed="false">
      <c r="A34" s="2" t="s">
        <v>146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5"/>
      <c r="R34" s="15"/>
    </row>
    <row r="35" customFormat="false" ht="15" hidden="false" customHeight="false" outlineLevel="0" collapsed="false">
      <c r="A35" s="2" t="s">
        <v>148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5"/>
      <c r="R35" s="15"/>
    </row>
    <row r="36" customFormat="false" ht="15" hidden="false" customHeight="false" outlineLevel="0" collapsed="false">
      <c r="A36" s="2" t="s">
        <v>150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5"/>
      <c r="R36" s="15"/>
    </row>
    <row r="37" customFormat="false" ht="15" hidden="false" customHeight="false" outlineLevel="0" collapsed="false">
      <c r="A37" s="2" t="s">
        <v>152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5"/>
      <c r="R37" s="15"/>
    </row>
    <row r="38" customFormat="false" ht="15" hidden="false" customHeight="false" outlineLevel="0" collapsed="false">
      <c r="A38" s="2" t="s">
        <v>158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5"/>
      <c r="R38" s="15"/>
    </row>
    <row r="39" customFormat="false" ht="15" hidden="false" customHeight="false" outlineLevel="0" collapsed="false">
      <c r="A39" s="2" t="s">
        <v>161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5"/>
      <c r="R39" s="15"/>
    </row>
    <row r="40" customFormat="false" ht="15" hidden="false" customHeight="false" outlineLevel="0" collapsed="false">
      <c r="A40" s="2" t="s">
        <v>163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5"/>
      <c r="R40" s="15"/>
    </row>
    <row r="41" customFormat="false" ht="15" hidden="false" customHeight="false" outlineLevel="0" collapsed="false">
      <c r="A41" s="2" t="s">
        <v>167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5"/>
      <c r="R41" s="15"/>
    </row>
    <row r="42" customFormat="false" ht="15" hidden="false" customHeight="false" outlineLevel="0" collapsed="false">
      <c r="A42" s="2" t="s">
        <v>169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5"/>
      <c r="R42" s="15"/>
    </row>
    <row r="43" customFormat="false" ht="15" hidden="false" customHeight="false" outlineLevel="0" collapsed="false">
      <c r="A43" s="2" t="s">
        <v>171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5"/>
      <c r="R43" s="15"/>
    </row>
    <row r="44" customFormat="false" ht="15" hidden="false" customHeight="false" outlineLevel="0" collapsed="false">
      <c r="A44" s="2" t="s">
        <v>176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5"/>
      <c r="R44" s="15"/>
    </row>
    <row r="45" customFormat="false" ht="15" hidden="false" customHeight="false" outlineLevel="0" collapsed="false">
      <c r="A45" s="2" t="s">
        <v>179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5"/>
      <c r="R45" s="15"/>
    </row>
    <row r="46" customFormat="false" ht="15" hidden="false" customHeight="false" outlineLevel="0" collapsed="false">
      <c r="A46" s="2" t="s">
        <v>181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5"/>
      <c r="R46" s="15"/>
    </row>
    <row r="47" customFormat="false" ht="15" hidden="false" customHeight="false" outlineLevel="0" collapsed="false">
      <c r="A47" s="2" t="s">
        <v>183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5"/>
      <c r="R47" s="15"/>
    </row>
    <row r="48" customFormat="false" ht="15" hidden="false" customHeight="false" outlineLevel="0" collapsed="false">
      <c r="A48" s="2" t="s">
        <v>185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5"/>
      <c r="R48" s="15"/>
    </row>
    <row r="49" customFormat="false" ht="15" hidden="false" customHeight="false" outlineLevel="0" collapsed="false">
      <c r="A49" s="2" t="s">
        <v>188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5"/>
      <c r="R49" s="15"/>
    </row>
    <row r="50" customFormat="false" ht="15" hidden="false" customHeight="false" outlineLevel="0" collapsed="false">
      <c r="A50" s="2" t="s">
        <v>190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5"/>
      <c r="R50" s="15"/>
    </row>
    <row r="51" customFormat="false" ht="15" hidden="false" customHeight="false" outlineLevel="0" collapsed="false">
      <c r="A51" s="2" t="s">
        <v>192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5"/>
      <c r="R51" s="15"/>
    </row>
    <row r="52" customFormat="false" ht="15" hidden="false" customHeight="false" outlineLevel="0" collapsed="false">
      <c r="A52" s="2" t="s">
        <v>195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5"/>
      <c r="R52" s="15"/>
    </row>
    <row r="53" customFormat="false" ht="15" hidden="false" customHeight="false" outlineLevel="0" collapsed="false">
      <c r="A53" s="2" t="s">
        <v>197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5"/>
      <c r="R53" s="15"/>
    </row>
    <row r="54" customFormat="false" ht="15" hidden="false" customHeight="false" outlineLevel="0" collapsed="false">
      <c r="A54" s="2" t="s">
        <v>199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5"/>
      <c r="R54" s="15"/>
    </row>
    <row r="55" customFormat="false" ht="15" hidden="false" customHeight="false" outlineLevel="0" collapsed="false">
      <c r="A55" s="2" t="s">
        <v>201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5"/>
      <c r="R55" s="15"/>
    </row>
    <row r="56" customFormat="false" ht="15" hidden="false" customHeight="false" outlineLevel="0" collapsed="false">
      <c r="A56" s="2" t="s">
        <v>203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5"/>
      <c r="R56" s="15"/>
    </row>
    <row r="57" customFormat="false" ht="15" hidden="false" customHeight="false" outlineLevel="0" collapsed="false">
      <c r="A57" s="2" t="s">
        <v>205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5"/>
      <c r="R57" s="15"/>
    </row>
    <row r="58" customFormat="false" ht="15" hidden="false" customHeight="false" outlineLevel="0" collapsed="false">
      <c r="A58" s="2" t="s">
        <v>207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5"/>
      <c r="R58" s="15"/>
    </row>
    <row r="59" customFormat="false" ht="15" hidden="false" customHeight="false" outlineLevel="0" collapsed="false">
      <c r="A59" s="2" t="s">
        <v>209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5"/>
      <c r="R59" s="15"/>
    </row>
    <row r="60" customFormat="false" ht="15" hidden="false" customHeight="false" outlineLevel="0" collapsed="false">
      <c r="A60" s="2" t="s">
        <v>211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5"/>
      <c r="R6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22"/>
  </cols>
  <sheetData>
    <row r="1" customFormat="false" ht="33.75" hidden="false" customHeight="true" outlineLevel="0" collapsed="false">
      <c r="A1" s="1" t="s">
        <v>343</v>
      </c>
      <c r="B1" s="1" t="s">
        <v>344</v>
      </c>
      <c r="C1" s="1" t="s">
        <v>36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5" min="4" style="0" width="70"/>
    <col collapsed="false" customWidth="true" hidden="false" outlineLevel="0" max="6" min="6" style="0" width="55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33.75" hidden="false" customHeight="tru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</row>
    <row r="2" customFormat="false" ht="15" hidden="false" customHeight="false" outlineLevel="0" collapsed="false">
      <c r="A2" s="2" t="s">
        <v>363</v>
      </c>
      <c r="B2" s="2" t="s">
        <v>364</v>
      </c>
      <c r="C2" s="2" t="s">
        <v>365</v>
      </c>
      <c r="D2" s="2" t="s">
        <v>366</v>
      </c>
      <c r="E2" s="2" t="s">
        <v>367</v>
      </c>
      <c r="F2" s="2"/>
      <c r="G2" s="2"/>
      <c r="H2" s="2" t="s">
        <v>368</v>
      </c>
    </row>
    <row r="3" customFormat="false" ht="15" hidden="false" customHeight="false" outlineLevel="0" collapsed="false">
      <c r="A3" s="2" t="s">
        <v>369</v>
      </c>
      <c r="B3" s="2" t="s">
        <v>364</v>
      </c>
      <c r="C3" s="2" t="s">
        <v>370</v>
      </c>
      <c r="D3" s="2" t="s">
        <v>371</v>
      </c>
      <c r="E3" s="2" t="s">
        <v>372</v>
      </c>
      <c r="F3" s="2"/>
      <c r="G3" s="2"/>
      <c r="H3" s="2" t="s">
        <v>368</v>
      </c>
    </row>
    <row r="4" customFormat="false" ht="15" hidden="false" customHeight="false" outlineLevel="0" collapsed="false">
      <c r="A4" s="2" t="s">
        <v>373</v>
      </c>
      <c r="B4" s="2" t="s">
        <v>364</v>
      </c>
      <c r="C4" s="2" t="s">
        <v>365</v>
      </c>
      <c r="D4" s="2" t="s">
        <v>374</v>
      </c>
      <c r="E4" s="2" t="s">
        <v>375</v>
      </c>
      <c r="F4" s="2"/>
      <c r="G4" s="2"/>
      <c r="H4" s="2" t="s">
        <v>368</v>
      </c>
    </row>
    <row r="5" customFormat="false" ht="15" hidden="false" customHeight="false" outlineLevel="0" collapsed="false">
      <c r="A5" s="2" t="s">
        <v>376</v>
      </c>
      <c r="B5" s="2" t="s">
        <v>364</v>
      </c>
      <c r="C5" s="2" t="s">
        <v>377</v>
      </c>
      <c r="D5" s="2" t="s">
        <v>378</v>
      </c>
      <c r="E5" s="2" t="s">
        <v>379</v>
      </c>
      <c r="F5" s="2"/>
      <c r="G5" s="2"/>
      <c r="H5" s="2" t="s">
        <v>368</v>
      </c>
    </row>
    <row r="6" customFormat="false" ht="15" hidden="false" customHeight="false" outlineLevel="0" collapsed="false">
      <c r="A6" s="2" t="s">
        <v>380</v>
      </c>
      <c r="B6" s="2" t="s">
        <v>364</v>
      </c>
      <c r="C6" s="2" t="s">
        <v>365</v>
      </c>
      <c r="D6" s="2" t="s">
        <v>381</v>
      </c>
      <c r="E6" s="2" t="s">
        <v>382</v>
      </c>
      <c r="F6" s="2"/>
      <c r="G6" s="2"/>
      <c r="H6" s="2" t="s">
        <v>368</v>
      </c>
    </row>
    <row r="7" customFormat="false" ht="15" hidden="false" customHeight="false" outlineLevel="0" collapsed="false">
      <c r="A7" s="2" t="s">
        <v>383</v>
      </c>
      <c r="B7" s="2" t="s">
        <v>384</v>
      </c>
      <c r="C7" s="2" t="s">
        <v>385</v>
      </c>
      <c r="D7" s="2" t="s">
        <v>386</v>
      </c>
      <c r="E7" s="2" t="s">
        <v>387</v>
      </c>
      <c r="F7" s="2"/>
      <c r="G7" s="2"/>
      <c r="H7" s="2" t="s">
        <v>368</v>
      </c>
    </row>
    <row r="8" customFormat="false" ht="15" hidden="false" customHeight="false" outlineLevel="0" collapsed="false">
      <c r="A8" s="2" t="s">
        <v>388</v>
      </c>
      <c r="B8" s="2" t="s">
        <v>384</v>
      </c>
      <c r="C8" s="2" t="s">
        <v>389</v>
      </c>
      <c r="D8" s="2" t="s">
        <v>390</v>
      </c>
      <c r="E8" s="2" t="s">
        <v>391</v>
      </c>
      <c r="F8" s="2"/>
      <c r="G8" s="2"/>
      <c r="H8" s="2" t="s">
        <v>368</v>
      </c>
    </row>
    <row r="9" customFormat="false" ht="15" hidden="false" customHeight="false" outlineLevel="0" collapsed="false">
      <c r="A9" s="2" t="s">
        <v>392</v>
      </c>
      <c r="B9" s="2" t="s">
        <v>384</v>
      </c>
      <c r="C9" s="2" t="s">
        <v>393</v>
      </c>
      <c r="D9" s="2" t="s">
        <v>394</v>
      </c>
      <c r="E9" s="2" t="s">
        <v>395</v>
      </c>
      <c r="F9" s="2"/>
      <c r="G9" s="2"/>
      <c r="H9" s="2" t="s">
        <v>368</v>
      </c>
    </row>
    <row r="10" customFormat="false" ht="15" hidden="false" customHeight="false" outlineLevel="0" collapsed="false">
      <c r="A10" s="2" t="s">
        <v>396</v>
      </c>
      <c r="B10" s="2" t="s">
        <v>384</v>
      </c>
      <c r="C10" s="2" t="s">
        <v>397</v>
      </c>
      <c r="D10" s="2" t="s">
        <v>398</v>
      </c>
      <c r="E10" s="2" t="s">
        <v>399</v>
      </c>
      <c r="F10" s="2"/>
      <c r="G10" s="2"/>
      <c r="H10" s="2" t="s">
        <v>368</v>
      </c>
    </row>
    <row r="11" customFormat="false" ht="15" hidden="false" customHeight="false" outlineLevel="0" collapsed="false">
      <c r="A11" s="2" t="s">
        <v>400</v>
      </c>
      <c r="B11" s="2" t="s">
        <v>384</v>
      </c>
      <c r="C11" s="2" t="s">
        <v>401</v>
      </c>
      <c r="D11" s="2" t="s">
        <v>402</v>
      </c>
      <c r="E11" s="2" t="s">
        <v>403</v>
      </c>
      <c r="F11" s="2"/>
      <c r="G11" s="2"/>
      <c r="H11" s="2" t="s">
        <v>368</v>
      </c>
    </row>
    <row r="12" customFormat="false" ht="15" hidden="false" customHeight="false" outlineLevel="0" collapsed="false">
      <c r="A12" s="2" t="s">
        <v>404</v>
      </c>
      <c r="B12" s="2" t="s">
        <v>405</v>
      </c>
      <c r="C12" s="2" t="s">
        <v>406</v>
      </c>
      <c r="D12" s="2" t="s">
        <v>407</v>
      </c>
      <c r="E12" s="2" t="s">
        <v>408</v>
      </c>
      <c r="F12" s="2"/>
      <c r="G12" s="2"/>
      <c r="H12" s="2" t="s">
        <v>409</v>
      </c>
    </row>
    <row r="13" customFormat="false" ht="15" hidden="false" customHeight="false" outlineLevel="0" collapsed="false">
      <c r="A13" s="2" t="s">
        <v>410</v>
      </c>
      <c r="B13" s="2" t="s">
        <v>405</v>
      </c>
      <c r="C13" s="2" t="s">
        <v>411</v>
      </c>
      <c r="D13" s="2" t="s">
        <v>412</v>
      </c>
      <c r="E13" s="2" t="s">
        <v>413</v>
      </c>
      <c r="F13" s="2"/>
      <c r="G13" s="2"/>
      <c r="H13" s="2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33.75" hidden="false" customHeight="true" outlineLevel="0" collapsed="false">
      <c r="A1" s="1" t="s">
        <v>414</v>
      </c>
      <c r="B1" s="1" t="s">
        <v>415</v>
      </c>
      <c r="C1" s="1" t="s">
        <v>416</v>
      </c>
      <c r="D1" s="1" t="s">
        <v>417</v>
      </c>
      <c r="E1" s="1" t="s">
        <v>38</v>
      </c>
      <c r="F1" s="1" t="s">
        <v>39</v>
      </c>
      <c r="G1" s="1" t="s">
        <v>418</v>
      </c>
      <c r="H1" s="1" t="s">
        <v>22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  <row r="2" customFormat="false" ht="23.85" hidden="false" customHeight="false" outlineLevel="0" collapsed="false">
      <c r="A2" s="2" t="s">
        <v>431</v>
      </c>
      <c r="B2" s="2" t="n">
        <v>6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61</v>
      </c>
      <c r="I2" s="2" t="s">
        <v>60</v>
      </c>
      <c r="J2" s="2" t="s">
        <v>432</v>
      </c>
      <c r="K2" s="2" t="n">
        <v>155</v>
      </c>
      <c r="L2" s="4" t="n">
        <v>46273</v>
      </c>
      <c r="M2" s="4" t="n">
        <v>46290</v>
      </c>
      <c r="N2" s="4" t="n">
        <v>46290</v>
      </c>
      <c r="O2" s="2" t="s">
        <v>433</v>
      </c>
      <c r="P2" s="4"/>
      <c r="Q2" s="2" t="s">
        <v>434</v>
      </c>
      <c r="R2" s="4" t="n">
        <v>46309</v>
      </c>
      <c r="S2" s="2"/>
      <c r="T2" s="2"/>
    </row>
    <row r="3" customFormat="false" ht="23.85" hidden="false" customHeight="false" outlineLevel="0" collapsed="false">
      <c r="A3" s="2" t="s">
        <v>431</v>
      </c>
      <c r="B3" s="2" t="n">
        <v>7</v>
      </c>
      <c r="C3" s="2" t="s">
        <v>64</v>
      </c>
      <c r="D3" s="2" t="s">
        <v>55</v>
      </c>
      <c r="E3" s="2" t="s">
        <v>56</v>
      </c>
      <c r="F3" s="2" t="s">
        <v>57</v>
      </c>
      <c r="G3" s="2" t="s">
        <v>65</v>
      </c>
      <c r="H3" s="2" t="s">
        <v>61</v>
      </c>
      <c r="I3" s="2" t="s">
        <v>60</v>
      </c>
      <c r="J3" s="2" t="s">
        <v>432</v>
      </c>
      <c r="K3" s="2" t="n">
        <v>9</v>
      </c>
      <c r="L3" s="4" t="n">
        <v>46273</v>
      </c>
      <c r="M3" s="4" t="n">
        <v>46290</v>
      </c>
      <c r="N3" s="4" t="n">
        <v>46290</v>
      </c>
      <c r="O3" s="2" t="s">
        <v>433</v>
      </c>
      <c r="P3" s="4"/>
      <c r="Q3" s="2" t="s">
        <v>434</v>
      </c>
      <c r="R3" s="4" t="n">
        <v>46309</v>
      </c>
      <c r="S3" s="2"/>
      <c r="T3" s="2"/>
    </row>
    <row r="4" customFormat="false" ht="23.85" hidden="false" customHeight="false" outlineLevel="0" collapsed="false">
      <c r="A4" s="2" t="s">
        <v>431</v>
      </c>
      <c r="B4" s="2" t="n">
        <v>8</v>
      </c>
      <c r="C4" s="2" t="s">
        <v>67</v>
      </c>
      <c r="D4" s="2" t="s">
        <v>55</v>
      </c>
      <c r="E4" s="2" t="s">
        <v>56</v>
      </c>
      <c r="F4" s="2" t="s">
        <v>57</v>
      </c>
      <c r="G4" s="2" t="s">
        <v>68</v>
      </c>
      <c r="H4" s="2" t="s">
        <v>61</v>
      </c>
      <c r="I4" s="2" t="s">
        <v>69</v>
      </c>
      <c r="J4" s="2" t="s">
        <v>432</v>
      </c>
      <c r="K4" s="2" t="n">
        <v>650</v>
      </c>
      <c r="L4" s="4" t="n">
        <v>46273</v>
      </c>
      <c r="M4" s="4" t="n">
        <v>46290</v>
      </c>
      <c r="N4" s="4" t="n">
        <v>46290</v>
      </c>
      <c r="O4" s="2" t="s">
        <v>433</v>
      </c>
      <c r="P4" s="4"/>
      <c r="Q4" s="2" t="s">
        <v>434</v>
      </c>
      <c r="R4" s="4" t="n">
        <v>46309</v>
      </c>
      <c r="S4" s="2"/>
      <c r="T4" s="2"/>
    </row>
    <row r="5" customFormat="false" ht="23.85" hidden="false" customHeight="false" outlineLevel="0" collapsed="false">
      <c r="A5" s="2" t="s">
        <v>431</v>
      </c>
      <c r="B5" s="2" t="n">
        <v>9</v>
      </c>
      <c r="C5" s="2" t="s">
        <v>70</v>
      </c>
      <c r="D5" s="2" t="s">
        <v>55</v>
      </c>
      <c r="E5" s="2" t="s">
        <v>56</v>
      </c>
      <c r="F5" s="2" t="s">
        <v>57</v>
      </c>
      <c r="G5" s="2" t="s">
        <v>71</v>
      </c>
      <c r="H5" s="2" t="s">
        <v>61</v>
      </c>
      <c r="I5" s="2" t="s">
        <v>69</v>
      </c>
      <c r="J5" s="2" t="s">
        <v>432</v>
      </c>
      <c r="K5" s="2" t="n">
        <v>650</v>
      </c>
      <c r="L5" s="4" t="n">
        <v>46273</v>
      </c>
      <c r="M5" s="4" t="n">
        <v>46290</v>
      </c>
      <c r="N5" s="4" t="n">
        <v>46293</v>
      </c>
      <c r="O5" s="2" t="s">
        <v>433</v>
      </c>
      <c r="P5" s="4"/>
      <c r="Q5" s="2" t="s">
        <v>434</v>
      </c>
      <c r="R5" s="4" t="n">
        <v>46309</v>
      </c>
      <c r="S5" s="2"/>
      <c r="T5" s="2"/>
    </row>
    <row r="6" customFormat="false" ht="23.85" hidden="false" customHeight="false" outlineLevel="0" collapsed="false">
      <c r="A6" s="2" t="s">
        <v>431</v>
      </c>
      <c r="B6" s="2" t="n">
        <v>10</v>
      </c>
      <c r="C6" s="2" t="s">
        <v>72</v>
      </c>
      <c r="D6" s="2" t="s">
        <v>55</v>
      </c>
      <c r="E6" s="2" t="s">
        <v>56</v>
      </c>
      <c r="F6" s="2" t="s">
        <v>73</v>
      </c>
      <c r="G6" s="2" t="s">
        <v>74</v>
      </c>
      <c r="H6" s="2" t="s">
        <v>75</v>
      </c>
      <c r="I6" s="2" t="s">
        <v>60</v>
      </c>
      <c r="J6" s="2" t="s">
        <v>432</v>
      </c>
      <c r="K6" s="2" t="n">
        <v>181</v>
      </c>
      <c r="L6" s="4" t="n">
        <v>46273</v>
      </c>
      <c r="M6" s="4" t="n">
        <v>46293</v>
      </c>
      <c r="N6" s="4" t="n">
        <v>46293</v>
      </c>
      <c r="O6" s="2" t="s">
        <v>433</v>
      </c>
      <c r="P6" s="4"/>
      <c r="Q6" s="2" t="s">
        <v>434</v>
      </c>
      <c r="R6" s="4" t="n">
        <v>46309</v>
      </c>
      <c r="S6" s="2"/>
      <c r="T6" s="2"/>
    </row>
    <row r="7" customFormat="false" ht="23.85" hidden="false" customHeight="false" outlineLevel="0" collapsed="false">
      <c r="A7" s="2" t="s">
        <v>431</v>
      </c>
      <c r="B7" s="2" t="n">
        <v>11</v>
      </c>
      <c r="C7" s="2" t="s">
        <v>76</v>
      </c>
      <c r="D7" s="2" t="s">
        <v>55</v>
      </c>
      <c r="E7" s="2" t="s">
        <v>56</v>
      </c>
      <c r="F7" s="2" t="s">
        <v>73</v>
      </c>
      <c r="G7" s="2" t="s">
        <v>77</v>
      </c>
      <c r="H7" s="2" t="s">
        <v>75</v>
      </c>
      <c r="I7" s="2" t="s">
        <v>60</v>
      </c>
      <c r="J7" s="2" t="s">
        <v>432</v>
      </c>
      <c r="K7" s="2" t="n">
        <v>9</v>
      </c>
      <c r="L7" s="4" t="n">
        <v>46273</v>
      </c>
      <c r="M7" s="4" t="n">
        <v>46293</v>
      </c>
      <c r="N7" s="4" t="n">
        <v>46293</v>
      </c>
      <c r="O7" s="2" t="s">
        <v>433</v>
      </c>
      <c r="P7" s="4"/>
      <c r="Q7" s="2" t="s">
        <v>434</v>
      </c>
      <c r="R7" s="4" t="n">
        <v>46309</v>
      </c>
      <c r="S7" s="2"/>
      <c r="T7" s="2"/>
    </row>
    <row r="8" customFormat="false" ht="23.85" hidden="false" customHeight="false" outlineLevel="0" collapsed="false">
      <c r="A8" s="2" t="s">
        <v>431</v>
      </c>
      <c r="B8" s="2" t="n">
        <v>12</v>
      </c>
      <c r="C8" s="2" t="s">
        <v>78</v>
      </c>
      <c r="D8" s="2" t="s">
        <v>55</v>
      </c>
      <c r="E8" s="2" t="s">
        <v>56</v>
      </c>
      <c r="F8" s="2" t="s">
        <v>73</v>
      </c>
      <c r="G8" s="2" t="s">
        <v>79</v>
      </c>
      <c r="H8" s="2" t="s">
        <v>75</v>
      </c>
      <c r="I8" s="2" t="s">
        <v>80</v>
      </c>
      <c r="J8" s="2" t="s">
        <v>432</v>
      </c>
      <c r="K8" s="2" t="n">
        <v>6120</v>
      </c>
      <c r="L8" s="4" t="n">
        <v>46273</v>
      </c>
      <c r="M8" s="4" t="n">
        <v>46293</v>
      </c>
      <c r="N8" s="4" t="n">
        <v>46302</v>
      </c>
      <c r="O8" s="2" t="s">
        <v>433</v>
      </c>
      <c r="P8" s="4"/>
      <c r="Q8" s="2" t="s">
        <v>434</v>
      </c>
      <c r="R8" s="4" t="n">
        <v>46309</v>
      </c>
      <c r="S8" s="2"/>
      <c r="T8" s="2"/>
    </row>
    <row r="9" customFormat="false" ht="23.85" hidden="false" customHeight="false" outlineLevel="0" collapsed="false">
      <c r="A9" s="2" t="s">
        <v>431</v>
      </c>
      <c r="B9" s="2" t="n">
        <v>13</v>
      </c>
      <c r="C9" s="2" t="s">
        <v>81</v>
      </c>
      <c r="D9" s="2" t="s">
        <v>55</v>
      </c>
      <c r="E9" s="2" t="s">
        <v>56</v>
      </c>
      <c r="F9" s="2" t="s">
        <v>82</v>
      </c>
      <c r="G9" s="2" t="s">
        <v>83</v>
      </c>
      <c r="H9" s="2" t="s">
        <v>85</v>
      </c>
      <c r="I9" s="2" t="s">
        <v>84</v>
      </c>
      <c r="J9" s="2" t="s">
        <v>432</v>
      </c>
      <c r="K9" s="2" t="n">
        <v>440</v>
      </c>
      <c r="L9" s="4" t="n">
        <v>46280</v>
      </c>
      <c r="M9" s="4" t="n">
        <v>46302</v>
      </c>
      <c r="N9" s="4" t="n">
        <v>46302</v>
      </c>
      <c r="O9" s="2" t="s">
        <v>433</v>
      </c>
      <c r="P9" s="4"/>
      <c r="Q9" s="2" t="s">
        <v>434</v>
      </c>
      <c r="R9" s="4" t="n">
        <v>46309</v>
      </c>
      <c r="S9" s="2"/>
      <c r="T9" s="2"/>
    </row>
    <row r="10" customFormat="false" ht="23.85" hidden="false" customHeight="false" outlineLevel="0" collapsed="false">
      <c r="A10" s="2" t="s">
        <v>431</v>
      </c>
      <c r="B10" s="2" t="n">
        <v>14</v>
      </c>
      <c r="C10" s="2" t="s">
        <v>86</v>
      </c>
      <c r="D10" s="2" t="s">
        <v>55</v>
      </c>
      <c r="E10" s="2" t="s">
        <v>56</v>
      </c>
      <c r="F10" s="2" t="s">
        <v>82</v>
      </c>
      <c r="G10" s="2" t="s">
        <v>87</v>
      </c>
      <c r="H10" s="2" t="s">
        <v>85</v>
      </c>
      <c r="I10" s="2" t="s">
        <v>84</v>
      </c>
      <c r="J10" s="2" t="s">
        <v>432</v>
      </c>
      <c r="K10" s="2" t="n">
        <v>9</v>
      </c>
      <c r="L10" s="4" t="n">
        <v>46280</v>
      </c>
      <c r="M10" s="4" t="n">
        <v>46302</v>
      </c>
      <c r="N10" s="4" t="n">
        <v>46302</v>
      </c>
      <c r="O10" s="2" t="s">
        <v>433</v>
      </c>
      <c r="P10" s="4"/>
      <c r="Q10" s="2" t="s">
        <v>434</v>
      </c>
      <c r="R10" s="4" t="n">
        <v>46309</v>
      </c>
      <c r="S10" s="2"/>
      <c r="T10" s="2"/>
    </row>
    <row r="11" customFormat="false" ht="23.85" hidden="false" customHeight="false" outlineLevel="0" collapsed="false">
      <c r="A11" s="2" t="s">
        <v>431</v>
      </c>
      <c r="B11" s="2" t="n">
        <v>15</v>
      </c>
      <c r="C11" s="2" t="s">
        <v>88</v>
      </c>
      <c r="D11" s="2" t="s">
        <v>55</v>
      </c>
      <c r="E11" s="2" t="s">
        <v>56</v>
      </c>
      <c r="F11" s="2" t="s">
        <v>82</v>
      </c>
      <c r="G11" s="2" t="s">
        <v>89</v>
      </c>
      <c r="H11" s="2" t="s">
        <v>85</v>
      </c>
      <c r="I11" s="2" t="s">
        <v>90</v>
      </c>
      <c r="J11" s="2" t="s">
        <v>432</v>
      </c>
      <c r="K11" s="2" t="n">
        <v>645</v>
      </c>
      <c r="L11" s="4" t="n">
        <v>46280</v>
      </c>
      <c r="M11" s="4" t="n">
        <v>46302</v>
      </c>
      <c r="N11" s="4" t="n">
        <v>46303</v>
      </c>
      <c r="O11" s="2" t="s">
        <v>433</v>
      </c>
      <c r="P11" s="4"/>
      <c r="Q11" s="2" t="s">
        <v>434</v>
      </c>
      <c r="R11" s="4" t="n">
        <v>46309</v>
      </c>
      <c r="S11" s="2"/>
      <c r="T11" s="2"/>
    </row>
    <row r="12" customFormat="false" ht="23.85" hidden="false" customHeight="false" outlineLevel="0" collapsed="false">
      <c r="A12" s="2" t="s">
        <v>431</v>
      </c>
      <c r="B12" s="2" t="n">
        <v>16</v>
      </c>
      <c r="C12" s="2" t="s">
        <v>91</v>
      </c>
      <c r="D12" s="2" t="s">
        <v>55</v>
      </c>
      <c r="E12" s="2" t="s">
        <v>56</v>
      </c>
      <c r="F12" s="2" t="s">
        <v>92</v>
      </c>
      <c r="G12" s="2" t="s">
        <v>93</v>
      </c>
      <c r="H12" s="2" t="s">
        <v>95</v>
      </c>
      <c r="I12" s="2" t="s">
        <v>94</v>
      </c>
      <c r="J12" s="2" t="s">
        <v>432</v>
      </c>
      <c r="K12" s="2" t="n">
        <v>241</v>
      </c>
      <c r="L12" s="4" t="n">
        <v>46280</v>
      </c>
      <c r="M12" s="4" t="n">
        <v>46303</v>
      </c>
      <c r="N12" s="4" t="n">
        <v>46303</v>
      </c>
      <c r="O12" s="2" t="s">
        <v>433</v>
      </c>
      <c r="P12" s="4"/>
      <c r="Q12" s="2" t="s">
        <v>434</v>
      </c>
      <c r="R12" s="4" t="n">
        <v>46317</v>
      </c>
      <c r="S12" s="2"/>
      <c r="T12" s="2"/>
    </row>
    <row r="13" customFormat="false" ht="23.85" hidden="false" customHeight="false" outlineLevel="0" collapsed="false">
      <c r="A13" s="2" t="s">
        <v>431</v>
      </c>
      <c r="B13" s="2" t="n">
        <v>17</v>
      </c>
      <c r="C13" s="2" t="s">
        <v>96</v>
      </c>
      <c r="D13" s="2" t="s">
        <v>55</v>
      </c>
      <c r="E13" s="2" t="s">
        <v>56</v>
      </c>
      <c r="F13" s="2" t="s">
        <v>92</v>
      </c>
      <c r="G13" s="2" t="s">
        <v>97</v>
      </c>
      <c r="H13" s="2" t="s">
        <v>95</v>
      </c>
      <c r="I13" s="2" t="s">
        <v>94</v>
      </c>
      <c r="J13" s="2" t="s">
        <v>432</v>
      </c>
      <c r="K13" s="2" t="n">
        <v>9</v>
      </c>
      <c r="L13" s="4" t="n">
        <v>46280</v>
      </c>
      <c r="M13" s="4" t="n">
        <v>46303</v>
      </c>
      <c r="N13" s="4" t="n">
        <v>46303</v>
      </c>
      <c r="O13" s="2" t="s">
        <v>433</v>
      </c>
      <c r="P13" s="4"/>
      <c r="Q13" s="2" t="s">
        <v>434</v>
      </c>
      <c r="R13" s="4" t="n">
        <v>46317</v>
      </c>
      <c r="S13" s="2"/>
      <c r="T13" s="2"/>
    </row>
    <row r="14" customFormat="false" ht="23.85" hidden="false" customHeight="false" outlineLevel="0" collapsed="false">
      <c r="A14" s="2" t="s">
        <v>431</v>
      </c>
      <c r="B14" s="2" t="n">
        <v>18</v>
      </c>
      <c r="C14" s="2" t="s">
        <v>98</v>
      </c>
      <c r="D14" s="2" t="s">
        <v>55</v>
      </c>
      <c r="E14" s="2" t="s">
        <v>56</v>
      </c>
      <c r="F14" s="2" t="s">
        <v>92</v>
      </c>
      <c r="G14" s="2" t="s">
        <v>99</v>
      </c>
      <c r="H14" s="2" t="s">
        <v>95</v>
      </c>
      <c r="I14" s="2" t="s">
        <v>100</v>
      </c>
      <c r="J14" s="2" t="s">
        <v>432</v>
      </c>
      <c r="K14" s="2" t="n">
        <v>165</v>
      </c>
      <c r="L14" s="4" t="n">
        <v>46282</v>
      </c>
      <c r="M14" s="4" t="n">
        <v>46308</v>
      </c>
      <c r="N14" s="4" t="n">
        <v>46308</v>
      </c>
      <c r="O14" s="2" t="s">
        <v>433</v>
      </c>
      <c r="P14" s="4"/>
      <c r="Q14" s="2" t="s">
        <v>434</v>
      </c>
      <c r="R14" s="4" t="n">
        <v>46317</v>
      </c>
      <c r="S14" s="2"/>
      <c r="T14" s="2"/>
    </row>
    <row r="15" customFormat="false" ht="23.85" hidden="false" customHeight="false" outlineLevel="0" collapsed="false">
      <c r="A15" s="2" t="s">
        <v>431</v>
      </c>
      <c r="B15" s="2" t="n">
        <v>19</v>
      </c>
      <c r="C15" s="2" t="s">
        <v>101</v>
      </c>
      <c r="D15" s="2" t="s">
        <v>55</v>
      </c>
      <c r="E15" s="2" t="s">
        <v>56</v>
      </c>
      <c r="F15" s="2" t="s">
        <v>73</v>
      </c>
      <c r="G15" s="2" t="s">
        <v>102</v>
      </c>
      <c r="H15" s="2" t="s">
        <v>75</v>
      </c>
      <c r="I15" s="2" t="s">
        <v>103</v>
      </c>
      <c r="J15" s="2" t="s">
        <v>432</v>
      </c>
      <c r="K15" s="2" t="n">
        <v>145</v>
      </c>
      <c r="L15" s="4" t="n">
        <v>46282</v>
      </c>
      <c r="M15" s="4" t="n">
        <v>46308</v>
      </c>
      <c r="N15" s="4" t="n">
        <v>46308</v>
      </c>
      <c r="O15" s="2" t="s">
        <v>433</v>
      </c>
      <c r="P15" s="4"/>
      <c r="Q15" s="2" t="s">
        <v>434</v>
      </c>
      <c r="R15" s="4" t="n">
        <v>46317</v>
      </c>
      <c r="S15" s="2"/>
      <c r="T15" s="2"/>
    </row>
    <row r="16" customFormat="false" ht="23.85" hidden="false" customHeight="false" outlineLevel="0" collapsed="false">
      <c r="A16" s="2" t="s">
        <v>431</v>
      </c>
      <c r="B16" s="2" t="n">
        <v>20</v>
      </c>
      <c r="C16" s="2" t="s">
        <v>104</v>
      </c>
      <c r="D16" s="2" t="s">
        <v>55</v>
      </c>
      <c r="E16" s="2" t="s">
        <v>56</v>
      </c>
      <c r="F16" s="2" t="s">
        <v>73</v>
      </c>
      <c r="G16" s="2" t="s">
        <v>105</v>
      </c>
      <c r="H16" s="2" t="s">
        <v>75</v>
      </c>
      <c r="I16" s="2" t="s">
        <v>103</v>
      </c>
      <c r="J16" s="2" t="s">
        <v>432</v>
      </c>
      <c r="K16" s="2" t="n">
        <v>325</v>
      </c>
      <c r="L16" s="4" t="n">
        <v>46282</v>
      </c>
      <c r="M16" s="4" t="n">
        <v>46308</v>
      </c>
      <c r="N16" s="4" t="n">
        <v>46309</v>
      </c>
      <c r="O16" s="2" t="s">
        <v>433</v>
      </c>
      <c r="P16" s="4"/>
      <c r="Q16" s="2" t="s">
        <v>434</v>
      </c>
      <c r="R16" s="4" t="n">
        <v>46317</v>
      </c>
      <c r="S16" s="2"/>
      <c r="T16" s="2"/>
    </row>
    <row r="17" customFormat="false" ht="23.85" hidden="false" customHeight="false" outlineLevel="0" collapsed="false">
      <c r="A17" s="2" t="s">
        <v>431</v>
      </c>
      <c r="B17" s="2" t="n">
        <v>21</v>
      </c>
      <c r="C17" s="2" t="s">
        <v>106</v>
      </c>
      <c r="D17" s="2" t="s">
        <v>55</v>
      </c>
      <c r="E17" s="2" t="s">
        <v>56</v>
      </c>
      <c r="F17" s="2" t="s">
        <v>73</v>
      </c>
      <c r="G17" s="2" t="s">
        <v>107</v>
      </c>
      <c r="H17" s="2" t="s">
        <v>75</v>
      </c>
      <c r="I17" s="2" t="s">
        <v>90</v>
      </c>
      <c r="J17" s="2" t="s">
        <v>432</v>
      </c>
      <c r="K17" s="2" t="n">
        <v>353</v>
      </c>
      <c r="L17" s="4" t="n">
        <v>46282</v>
      </c>
      <c r="M17" s="4" t="n">
        <v>46309</v>
      </c>
      <c r="N17" s="4" t="n">
        <v>46309</v>
      </c>
      <c r="O17" s="2" t="s">
        <v>433</v>
      </c>
      <c r="P17" s="4"/>
      <c r="Q17" s="2" t="s">
        <v>434</v>
      </c>
      <c r="R17" s="4" t="n">
        <v>46317</v>
      </c>
      <c r="S17" s="2"/>
      <c r="T17" s="2"/>
    </row>
    <row r="18" customFormat="false" ht="23.85" hidden="false" customHeight="false" outlineLevel="0" collapsed="false">
      <c r="A18" s="2" t="s">
        <v>431</v>
      </c>
      <c r="B18" s="2" t="n">
        <v>22</v>
      </c>
      <c r="C18" s="2" t="s">
        <v>108</v>
      </c>
      <c r="D18" s="2" t="s">
        <v>55</v>
      </c>
      <c r="E18" s="2" t="s">
        <v>56</v>
      </c>
      <c r="F18" s="2" t="s">
        <v>82</v>
      </c>
      <c r="G18" s="2" t="s">
        <v>109</v>
      </c>
      <c r="H18" s="2" t="s">
        <v>85</v>
      </c>
      <c r="I18" s="2" t="s">
        <v>94</v>
      </c>
      <c r="J18" s="2" t="s">
        <v>432</v>
      </c>
      <c r="K18" s="2" t="n">
        <v>124</v>
      </c>
      <c r="L18" s="4" t="n">
        <v>46282</v>
      </c>
      <c r="M18" s="4" t="n">
        <v>46309</v>
      </c>
      <c r="N18" s="4" t="n">
        <v>46309</v>
      </c>
      <c r="O18" s="2" t="s">
        <v>433</v>
      </c>
      <c r="P18" s="4"/>
      <c r="Q18" s="2" t="s">
        <v>434</v>
      </c>
      <c r="R18" s="4" t="n">
        <v>46317</v>
      </c>
      <c r="S18" s="2"/>
      <c r="T18" s="2"/>
    </row>
    <row r="19" customFormat="false" ht="23.85" hidden="false" customHeight="false" outlineLevel="0" collapsed="false">
      <c r="A19" s="2" t="s">
        <v>431</v>
      </c>
      <c r="B19" s="2" t="n">
        <v>23</v>
      </c>
      <c r="C19" s="2" t="s">
        <v>110</v>
      </c>
      <c r="D19" s="2" t="s">
        <v>55</v>
      </c>
      <c r="E19" s="2" t="s">
        <v>56</v>
      </c>
      <c r="F19" s="2" t="s">
        <v>57</v>
      </c>
      <c r="G19" s="2" t="s">
        <v>111</v>
      </c>
      <c r="H19" s="2" t="s">
        <v>61</v>
      </c>
      <c r="I19" s="2" t="s">
        <v>94</v>
      </c>
      <c r="J19" s="2" t="s">
        <v>432</v>
      </c>
      <c r="K19" s="2" t="n">
        <v>406</v>
      </c>
      <c r="L19" s="4" t="n">
        <v>46287</v>
      </c>
      <c r="M19" s="4" t="n">
        <v>46309</v>
      </c>
      <c r="N19" s="4" t="n">
        <v>46310</v>
      </c>
      <c r="O19" s="2" t="s">
        <v>433</v>
      </c>
      <c r="P19" s="4"/>
      <c r="Q19" s="2" t="s">
        <v>434</v>
      </c>
      <c r="R19" s="4" t="n">
        <v>46317</v>
      </c>
      <c r="S19" s="2"/>
      <c r="T19" s="2"/>
    </row>
    <row r="20" customFormat="false" ht="23.85" hidden="false" customHeight="false" outlineLevel="0" collapsed="false">
      <c r="A20" s="2" t="s">
        <v>431</v>
      </c>
      <c r="B20" s="2" t="n">
        <v>24</v>
      </c>
      <c r="C20" s="2" t="s">
        <v>112</v>
      </c>
      <c r="D20" s="2" t="s">
        <v>55</v>
      </c>
      <c r="E20" s="2" t="s">
        <v>56</v>
      </c>
      <c r="F20" s="2" t="s">
        <v>57</v>
      </c>
      <c r="G20" s="2" t="s">
        <v>113</v>
      </c>
      <c r="H20" s="2" t="s">
        <v>61</v>
      </c>
      <c r="I20" s="2" t="s">
        <v>103</v>
      </c>
      <c r="J20" s="2" t="s">
        <v>432</v>
      </c>
      <c r="K20" s="2" t="n">
        <v>455</v>
      </c>
      <c r="L20" s="4" t="n">
        <v>46287</v>
      </c>
      <c r="M20" s="4" t="n">
        <v>46310</v>
      </c>
      <c r="N20" s="4" t="n">
        <v>46310</v>
      </c>
      <c r="O20" s="2" t="s">
        <v>433</v>
      </c>
      <c r="P20" s="4"/>
      <c r="Q20" s="2" t="s">
        <v>434</v>
      </c>
      <c r="R20" s="4" t="n">
        <v>46317</v>
      </c>
      <c r="S20" s="2"/>
      <c r="T20" s="2"/>
    </row>
    <row r="21" customFormat="false" ht="23.85" hidden="false" customHeight="false" outlineLevel="0" collapsed="false">
      <c r="A21" s="2" t="s">
        <v>431</v>
      </c>
      <c r="B21" s="2" t="n">
        <v>25</v>
      </c>
      <c r="C21" s="2" t="s">
        <v>114</v>
      </c>
      <c r="D21" s="2" t="s">
        <v>55</v>
      </c>
      <c r="E21" s="2" t="s">
        <v>56</v>
      </c>
      <c r="F21" s="2" t="s">
        <v>92</v>
      </c>
      <c r="G21" s="2" t="s">
        <v>115</v>
      </c>
      <c r="H21" s="2" t="s">
        <v>95</v>
      </c>
      <c r="I21" s="2" t="s">
        <v>116</v>
      </c>
      <c r="J21" s="2" t="s">
        <v>432</v>
      </c>
      <c r="K21" s="2" t="n">
        <v>690</v>
      </c>
      <c r="L21" s="4" t="n">
        <v>46280</v>
      </c>
      <c r="M21" s="4" t="n">
        <v>46303</v>
      </c>
      <c r="N21" s="4" t="n">
        <v>46304</v>
      </c>
      <c r="O21" s="2" t="s">
        <v>433</v>
      </c>
      <c r="P21" s="4"/>
      <c r="Q21" s="2" t="s">
        <v>434</v>
      </c>
      <c r="R21" s="4" t="n">
        <v>46325</v>
      </c>
      <c r="S21" s="2"/>
      <c r="T21" s="2"/>
    </row>
    <row r="22" customFormat="false" ht="23.85" hidden="false" customHeight="false" outlineLevel="0" collapsed="false">
      <c r="A22" s="2" t="s">
        <v>431</v>
      </c>
      <c r="B22" s="2" t="n">
        <v>26</v>
      </c>
      <c r="C22" s="2" t="s">
        <v>117</v>
      </c>
      <c r="D22" s="2" t="s">
        <v>55</v>
      </c>
      <c r="E22" s="2" t="s">
        <v>56</v>
      </c>
      <c r="F22" s="2" t="s">
        <v>92</v>
      </c>
      <c r="G22" s="2" t="s">
        <v>118</v>
      </c>
      <c r="H22" s="2" t="s">
        <v>95</v>
      </c>
      <c r="I22" s="2" t="s">
        <v>116</v>
      </c>
      <c r="J22" s="2" t="s">
        <v>432</v>
      </c>
      <c r="K22" s="2" t="n">
        <v>1794</v>
      </c>
      <c r="L22" s="4" t="n">
        <v>46280</v>
      </c>
      <c r="M22" s="4" t="n">
        <v>46304</v>
      </c>
      <c r="N22" s="4" t="n">
        <v>46308</v>
      </c>
      <c r="O22" s="2" t="s">
        <v>433</v>
      </c>
      <c r="P22" s="4"/>
      <c r="Q22" s="2" t="s">
        <v>434</v>
      </c>
      <c r="R22" s="4" t="n">
        <v>46325</v>
      </c>
      <c r="S22" s="2"/>
      <c r="T22" s="2"/>
    </row>
    <row r="23" customFormat="false" ht="23.85" hidden="false" customHeight="false" outlineLevel="0" collapsed="false">
      <c r="A23" s="2" t="s">
        <v>431</v>
      </c>
      <c r="B23" s="2" t="n">
        <v>27</v>
      </c>
      <c r="C23" s="2" t="s">
        <v>119</v>
      </c>
      <c r="D23" s="2" t="s">
        <v>55</v>
      </c>
      <c r="E23" s="2" t="s">
        <v>56</v>
      </c>
      <c r="F23" s="2" t="s">
        <v>92</v>
      </c>
      <c r="G23" s="2" t="s">
        <v>120</v>
      </c>
      <c r="H23" s="2" t="s">
        <v>95</v>
      </c>
      <c r="I23" s="2" t="s">
        <v>69</v>
      </c>
      <c r="J23" s="2" t="s">
        <v>432</v>
      </c>
      <c r="K23" s="2" t="n">
        <v>302</v>
      </c>
      <c r="L23" s="4" t="n">
        <v>46282</v>
      </c>
      <c r="M23" s="4" t="n">
        <v>46308</v>
      </c>
      <c r="N23" s="4" t="n">
        <v>46308</v>
      </c>
      <c r="O23" s="2" t="s">
        <v>433</v>
      </c>
      <c r="P23" s="4"/>
      <c r="Q23" s="2" t="s">
        <v>434</v>
      </c>
      <c r="R23" s="4" t="n">
        <v>46325</v>
      </c>
      <c r="S23" s="2"/>
      <c r="T23" s="2"/>
    </row>
    <row r="24" customFormat="false" ht="23.85" hidden="false" customHeight="false" outlineLevel="0" collapsed="false">
      <c r="A24" s="2" t="s">
        <v>431</v>
      </c>
      <c r="B24" s="2" t="n">
        <v>28</v>
      </c>
      <c r="C24" s="2" t="s">
        <v>121</v>
      </c>
      <c r="D24" s="2" t="s">
        <v>55</v>
      </c>
      <c r="E24" s="2" t="s">
        <v>56</v>
      </c>
      <c r="F24" s="2" t="s">
        <v>73</v>
      </c>
      <c r="G24" s="2" t="s">
        <v>122</v>
      </c>
      <c r="H24" s="2" t="s">
        <v>75</v>
      </c>
      <c r="I24" s="2" t="s">
        <v>123</v>
      </c>
      <c r="J24" s="2" t="s">
        <v>432</v>
      </c>
      <c r="K24" s="2" t="n">
        <v>300</v>
      </c>
      <c r="L24" s="4" t="n">
        <v>46282</v>
      </c>
      <c r="M24" s="4" t="n">
        <v>46309</v>
      </c>
      <c r="N24" s="4" t="n">
        <v>46309</v>
      </c>
      <c r="O24" s="2" t="s">
        <v>433</v>
      </c>
      <c r="P24" s="4"/>
      <c r="Q24" s="2" t="s">
        <v>434</v>
      </c>
      <c r="R24" s="4" t="n">
        <v>46325</v>
      </c>
      <c r="S24" s="2"/>
      <c r="T24" s="2"/>
    </row>
    <row r="25" customFormat="false" ht="23.85" hidden="false" customHeight="false" outlineLevel="0" collapsed="false">
      <c r="A25" s="2" t="s">
        <v>431</v>
      </c>
      <c r="B25" s="2" t="n">
        <v>29</v>
      </c>
      <c r="C25" s="2" t="s">
        <v>124</v>
      </c>
      <c r="D25" s="2" t="s">
        <v>55</v>
      </c>
      <c r="E25" s="2" t="s">
        <v>56</v>
      </c>
      <c r="F25" s="2" t="s">
        <v>57</v>
      </c>
      <c r="G25" s="2" t="s">
        <v>125</v>
      </c>
      <c r="H25" s="2" t="s">
        <v>61</v>
      </c>
      <c r="I25" s="2" t="s">
        <v>126</v>
      </c>
      <c r="J25" s="2" t="s">
        <v>432</v>
      </c>
      <c r="K25" s="2" t="n">
        <v>107</v>
      </c>
      <c r="L25" s="4" t="n">
        <v>46287</v>
      </c>
      <c r="M25" s="4" t="n">
        <v>46310</v>
      </c>
      <c r="N25" s="4" t="n">
        <v>46310</v>
      </c>
      <c r="O25" s="2" t="s">
        <v>433</v>
      </c>
      <c r="P25" s="4"/>
      <c r="Q25" s="2" t="s">
        <v>434</v>
      </c>
      <c r="R25" s="4" t="n">
        <v>46325</v>
      </c>
      <c r="S25" s="2"/>
      <c r="T25" s="2"/>
    </row>
    <row r="26" customFormat="false" ht="23.85" hidden="false" customHeight="false" outlineLevel="0" collapsed="false">
      <c r="A26" s="2" t="s">
        <v>431</v>
      </c>
      <c r="B26" s="2" t="n">
        <v>30</v>
      </c>
      <c r="C26" s="2" t="s">
        <v>127</v>
      </c>
      <c r="D26" s="2" t="s">
        <v>55</v>
      </c>
      <c r="E26" s="2" t="s">
        <v>56</v>
      </c>
      <c r="F26" s="2" t="s">
        <v>128</v>
      </c>
      <c r="G26" s="2" t="s">
        <v>129</v>
      </c>
      <c r="H26" s="2" t="s">
        <v>131</v>
      </c>
      <c r="I26" s="2" t="s">
        <v>130</v>
      </c>
      <c r="J26" s="2" t="s">
        <v>432</v>
      </c>
      <c r="K26" s="2" t="n">
        <v>106</v>
      </c>
      <c r="L26" s="4" t="n">
        <v>46287</v>
      </c>
      <c r="M26" s="4" t="n">
        <v>46311</v>
      </c>
      <c r="N26" s="4" t="n">
        <v>46314</v>
      </c>
      <c r="O26" s="2" t="s">
        <v>433</v>
      </c>
      <c r="P26" s="4"/>
      <c r="Q26" s="2" t="s">
        <v>434</v>
      </c>
      <c r="R26" s="4" t="n">
        <v>46325</v>
      </c>
      <c r="S26" s="2"/>
      <c r="T26" s="2"/>
    </row>
    <row r="27" customFormat="false" ht="23.85" hidden="false" customHeight="false" outlineLevel="0" collapsed="false">
      <c r="A27" s="2" t="s">
        <v>431</v>
      </c>
      <c r="B27" s="2" t="n">
        <v>31</v>
      </c>
      <c r="C27" s="2" t="s">
        <v>132</v>
      </c>
      <c r="D27" s="2" t="s">
        <v>55</v>
      </c>
      <c r="E27" s="2" t="s">
        <v>56</v>
      </c>
      <c r="F27" s="2" t="s">
        <v>128</v>
      </c>
      <c r="G27" s="2" t="s">
        <v>133</v>
      </c>
      <c r="H27" s="2" t="s">
        <v>131</v>
      </c>
      <c r="I27" s="2" t="s">
        <v>130</v>
      </c>
      <c r="J27" s="2" t="s">
        <v>432</v>
      </c>
      <c r="K27" s="2" t="n">
        <v>9</v>
      </c>
      <c r="L27" s="4" t="n">
        <v>46287</v>
      </c>
      <c r="M27" s="4" t="n">
        <v>46311</v>
      </c>
      <c r="N27" s="4" t="n">
        <v>46314</v>
      </c>
      <c r="O27" s="2" t="s">
        <v>433</v>
      </c>
      <c r="P27" s="4"/>
      <c r="Q27" s="2" t="s">
        <v>434</v>
      </c>
      <c r="R27" s="4" t="n">
        <v>46325</v>
      </c>
      <c r="S27" s="2"/>
      <c r="T27" s="2"/>
    </row>
    <row r="28" customFormat="false" ht="23.85" hidden="false" customHeight="false" outlineLevel="0" collapsed="false">
      <c r="A28" s="2" t="s">
        <v>431</v>
      </c>
      <c r="B28" s="2" t="n">
        <v>32</v>
      </c>
      <c r="C28" s="2" t="s">
        <v>134</v>
      </c>
      <c r="D28" s="2" t="s">
        <v>55</v>
      </c>
      <c r="E28" s="2" t="s">
        <v>56</v>
      </c>
      <c r="F28" s="2" t="s">
        <v>57</v>
      </c>
      <c r="G28" s="2" t="s">
        <v>135</v>
      </c>
      <c r="H28" s="2" t="s">
        <v>61</v>
      </c>
      <c r="I28" s="2" t="s">
        <v>90</v>
      </c>
      <c r="J28" s="2" t="s">
        <v>432</v>
      </c>
      <c r="K28" s="2" t="n">
        <v>301</v>
      </c>
      <c r="L28" s="4" t="n">
        <v>46287</v>
      </c>
      <c r="M28" s="4" t="n">
        <v>46310</v>
      </c>
      <c r="N28" s="4" t="n">
        <v>46311</v>
      </c>
      <c r="O28" s="2" t="s">
        <v>433</v>
      </c>
      <c r="P28" s="4"/>
      <c r="Q28" s="2" t="s">
        <v>434</v>
      </c>
      <c r="R28" s="4" t="n">
        <v>46332</v>
      </c>
      <c r="S28" s="2"/>
      <c r="T28" s="2"/>
    </row>
    <row r="29" customFormat="false" ht="23.85" hidden="false" customHeight="false" outlineLevel="0" collapsed="false">
      <c r="A29" s="2" t="s">
        <v>431</v>
      </c>
      <c r="B29" s="2" t="n">
        <v>33</v>
      </c>
      <c r="C29" s="2" t="s">
        <v>136</v>
      </c>
      <c r="D29" s="2" t="s">
        <v>55</v>
      </c>
      <c r="E29" s="2" t="s">
        <v>56</v>
      </c>
      <c r="F29" s="2" t="s">
        <v>57</v>
      </c>
      <c r="G29" s="2" t="s">
        <v>137</v>
      </c>
      <c r="H29" s="2" t="s">
        <v>61</v>
      </c>
      <c r="I29" s="2" t="s">
        <v>103</v>
      </c>
      <c r="J29" s="2" t="s">
        <v>432</v>
      </c>
      <c r="K29" s="2" t="n">
        <v>350</v>
      </c>
      <c r="L29" s="4" t="n">
        <v>46287</v>
      </c>
      <c r="M29" s="4" t="n">
        <v>46311</v>
      </c>
      <c r="N29" s="4" t="n">
        <v>46311</v>
      </c>
      <c r="O29" s="2" t="s">
        <v>433</v>
      </c>
      <c r="P29" s="4"/>
      <c r="Q29" s="2" t="s">
        <v>434</v>
      </c>
      <c r="R29" s="4" t="n">
        <v>46332</v>
      </c>
      <c r="S29" s="2"/>
      <c r="T29" s="2"/>
    </row>
    <row r="30" customFormat="false" ht="23.85" hidden="false" customHeight="false" outlineLevel="0" collapsed="false">
      <c r="A30" s="2" t="s">
        <v>431</v>
      </c>
      <c r="B30" s="2" t="n">
        <v>34</v>
      </c>
      <c r="C30" s="2" t="s">
        <v>138</v>
      </c>
      <c r="D30" s="2" t="s">
        <v>55</v>
      </c>
      <c r="E30" s="2" t="s">
        <v>56</v>
      </c>
      <c r="F30" s="2" t="s">
        <v>57</v>
      </c>
      <c r="G30" s="2" t="s">
        <v>139</v>
      </c>
      <c r="H30" s="2" t="s">
        <v>61</v>
      </c>
      <c r="I30" s="2" t="s">
        <v>90</v>
      </c>
      <c r="J30" s="2" t="s">
        <v>432</v>
      </c>
      <c r="K30" s="2" t="n">
        <v>362</v>
      </c>
      <c r="L30" s="4" t="n">
        <v>46287</v>
      </c>
      <c r="M30" s="4" t="n">
        <v>46311</v>
      </c>
      <c r="N30" s="4" t="n">
        <v>46311</v>
      </c>
      <c r="O30" s="2" t="s">
        <v>433</v>
      </c>
      <c r="P30" s="4"/>
      <c r="Q30" s="2" t="s">
        <v>434</v>
      </c>
      <c r="R30" s="4" t="n">
        <v>46332</v>
      </c>
      <c r="S30" s="2"/>
      <c r="T30" s="2"/>
    </row>
    <row r="31" customFormat="false" ht="23.85" hidden="false" customHeight="false" outlineLevel="0" collapsed="false">
      <c r="A31" s="2" t="s">
        <v>431</v>
      </c>
      <c r="B31" s="2" t="n">
        <v>35</v>
      </c>
      <c r="C31" s="2" t="s">
        <v>140</v>
      </c>
      <c r="D31" s="2" t="s">
        <v>55</v>
      </c>
      <c r="E31" s="2" t="s">
        <v>56</v>
      </c>
      <c r="F31" s="2" t="s">
        <v>128</v>
      </c>
      <c r="G31" s="2" t="s">
        <v>141</v>
      </c>
      <c r="H31" s="2" t="s">
        <v>131</v>
      </c>
      <c r="I31" s="2" t="s">
        <v>90</v>
      </c>
      <c r="J31" s="2" t="s">
        <v>432</v>
      </c>
      <c r="K31" s="2" t="n">
        <v>607</v>
      </c>
      <c r="L31" s="4" t="n">
        <v>46289</v>
      </c>
      <c r="M31" s="4" t="n">
        <v>46314</v>
      </c>
      <c r="N31" s="4" t="n">
        <v>46314</v>
      </c>
      <c r="O31" s="2" t="s">
        <v>433</v>
      </c>
      <c r="P31" s="4"/>
      <c r="Q31" s="2" t="s">
        <v>434</v>
      </c>
      <c r="R31" s="4" t="n">
        <v>46332</v>
      </c>
      <c r="S31" s="2"/>
      <c r="T31" s="2"/>
    </row>
    <row r="32" customFormat="false" ht="23.85" hidden="false" customHeight="false" outlineLevel="0" collapsed="false">
      <c r="A32" s="2" t="s">
        <v>431</v>
      </c>
      <c r="B32" s="2" t="n">
        <v>36</v>
      </c>
      <c r="C32" s="2" t="s">
        <v>142</v>
      </c>
      <c r="D32" s="2" t="s">
        <v>55</v>
      </c>
      <c r="E32" s="2" t="s">
        <v>56</v>
      </c>
      <c r="F32" s="2" t="s">
        <v>82</v>
      </c>
      <c r="G32" s="2" t="s">
        <v>143</v>
      </c>
      <c r="H32" s="2" t="s">
        <v>85</v>
      </c>
      <c r="I32" s="2" t="s">
        <v>130</v>
      </c>
      <c r="J32" s="2" t="s">
        <v>432</v>
      </c>
      <c r="K32" s="2" t="n">
        <v>435</v>
      </c>
      <c r="L32" s="4" t="n">
        <v>46289</v>
      </c>
      <c r="M32" s="4" t="n">
        <v>46314</v>
      </c>
      <c r="N32" s="4" t="n">
        <v>46315</v>
      </c>
      <c r="O32" s="2" t="s">
        <v>433</v>
      </c>
      <c r="P32" s="4"/>
      <c r="Q32" s="2" t="s">
        <v>434</v>
      </c>
      <c r="R32" s="4" t="n">
        <v>46332</v>
      </c>
      <c r="S32" s="2" t="s">
        <v>435</v>
      </c>
      <c r="T32" s="2"/>
    </row>
    <row r="33" customFormat="false" ht="23.85" hidden="false" customHeight="false" outlineLevel="0" collapsed="false">
      <c r="A33" s="2" t="s">
        <v>431</v>
      </c>
      <c r="B33" s="2" t="n">
        <v>37</v>
      </c>
      <c r="C33" s="2" t="s">
        <v>144</v>
      </c>
      <c r="D33" s="2" t="s">
        <v>55</v>
      </c>
      <c r="E33" s="2" t="s">
        <v>56</v>
      </c>
      <c r="F33" s="2" t="s">
        <v>82</v>
      </c>
      <c r="G33" s="2" t="s">
        <v>145</v>
      </c>
      <c r="H33" s="2" t="s">
        <v>85</v>
      </c>
      <c r="I33" s="2" t="s">
        <v>90</v>
      </c>
      <c r="J33" s="2" t="s">
        <v>432</v>
      </c>
      <c r="K33" s="2" t="n">
        <v>1100</v>
      </c>
      <c r="L33" s="4" t="n">
        <v>46289</v>
      </c>
      <c r="M33" s="4" t="n">
        <v>46315</v>
      </c>
      <c r="N33" s="4" t="n">
        <v>46316</v>
      </c>
      <c r="O33" s="2" t="s">
        <v>433</v>
      </c>
      <c r="P33" s="4"/>
      <c r="Q33" s="2" t="s">
        <v>434</v>
      </c>
      <c r="R33" s="4" t="n">
        <v>46332</v>
      </c>
      <c r="S33" s="2"/>
      <c r="T33" s="2"/>
    </row>
    <row r="34" customFormat="false" ht="23.85" hidden="false" customHeight="false" outlineLevel="0" collapsed="false">
      <c r="A34" s="2" t="s">
        <v>431</v>
      </c>
      <c r="B34" s="2" t="n">
        <v>38</v>
      </c>
      <c r="C34" s="2" t="s">
        <v>146</v>
      </c>
      <c r="D34" s="2" t="s">
        <v>55</v>
      </c>
      <c r="E34" s="2" t="s">
        <v>56</v>
      </c>
      <c r="F34" s="2" t="s">
        <v>73</v>
      </c>
      <c r="G34" s="2" t="s">
        <v>147</v>
      </c>
      <c r="H34" s="2" t="s">
        <v>75</v>
      </c>
      <c r="I34" s="2" t="s">
        <v>130</v>
      </c>
      <c r="J34" s="2" t="s">
        <v>432</v>
      </c>
      <c r="K34" s="2" t="n">
        <v>365</v>
      </c>
      <c r="L34" s="4" t="n">
        <v>46289</v>
      </c>
      <c r="M34" s="4" t="n">
        <v>46316</v>
      </c>
      <c r="N34" s="4" t="n">
        <v>46316</v>
      </c>
      <c r="O34" s="2" t="s">
        <v>433</v>
      </c>
      <c r="P34" s="4"/>
      <c r="Q34" s="2" t="s">
        <v>434</v>
      </c>
      <c r="R34" s="4" t="n">
        <v>46332</v>
      </c>
      <c r="S34" s="2"/>
      <c r="T34" s="2"/>
    </row>
    <row r="35" customFormat="false" ht="23.85" hidden="false" customHeight="false" outlineLevel="0" collapsed="false">
      <c r="A35" s="2" t="s">
        <v>431</v>
      </c>
      <c r="B35" s="2" t="n">
        <v>39</v>
      </c>
      <c r="C35" s="2" t="s">
        <v>148</v>
      </c>
      <c r="D35" s="2" t="s">
        <v>55</v>
      </c>
      <c r="E35" s="2" t="s">
        <v>56</v>
      </c>
      <c r="F35" s="2" t="s">
        <v>73</v>
      </c>
      <c r="G35" s="2" t="s">
        <v>149</v>
      </c>
      <c r="H35" s="2" t="s">
        <v>75</v>
      </c>
      <c r="I35" s="2" t="s">
        <v>103</v>
      </c>
      <c r="J35" s="2" t="s">
        <v>432</v>
      </c>
      <c r="K35" s="2" t="n">
        <v>370</v>
      </c>
      <c r="L35" s="4" t="n">
        <v>46289</v>
      </c>
      <c r="M35" s="4" t="n">
        <v>46316</v>
      </c>
      <c r="N35" s="4" t="n">
        <v>46317</v>
      </c>
      <c r="O35" s="2" t="s">
        <v>433</v>
      </c>
      <c r="P35" s="4"/>
      <c r="Q35" s="2" t="s">
        <v>434</v>
      </c>
      <c r="R35" s="4" t="n">
        <v>46332</v>
      </c>
      <c r="S35" s="2"/>
      <c r="T35" s="2"/>
    </row>
    <row r="36" customFormat="false" ht="23.85" hidden="false" customHeight="false" outlineLevel="0" collapsed="false">
      <c r="A36" s="2" t="s">
        <v>431</v>
      </c>
      <c r="B36" s="2" t="n">
        <v>40</v>
      </c>
      <c r="C36" s="2" t="s">
        <v>150</v>
      </c>
      <c r="D36" s="2" t="s">
        <v>55</v>
      </c>
      <c r="E36" s="2" t="s">
        <v>56</v>
      </c>
      <c r="F36" s="2" t="s">
        <v>73</v>
      </c>
      <c r="G36" s="2" t="s">
        <v>151</v>
      </c>
      <c r="H36" s="2" t="s">
        <v>75</v>
      </c>
      <c r="I36" s="2" t="s">
        <v>90</v>
      </c>
      <c r="J36" s="2" t="s">
        <v>432</v>
      </c>
      <c r="K36" s="2" t="n">
        <v>618</v>
      </c>
      <c r="L36" s="4" t="n">
        <v>46289</v>
      </c>
      <c r="M36" s="4" t="n">
        <v>46317</v>
      </c>
      <c r="N36" s="4" t="n">
        <v>46317</v>
      </c>
      <c r="O36" s="2" t="s">
        <v>433</v>
      </c>
      <c r="P36" s="4"/>
      <c r="Q36" s="2" t="s">
        <v>434</v>
      </c>
      <c r="R36" s="4" t="n">
        <v>46332</v>
      </c>
      <c r="S36" s="2"/>
      <c r="T36" s="2"/>
    </row>
    <row r="37" customFormat="false" ht="23.85" hidden="false" customHeight="false" outlineLevel="0" collapsed="false">
      <c r="A37" s="2" t="s">
        <v>431</v>
      </c>
      <c r="B37" s="2" t="n">
        <v>46</v>
      </c>
      <c r="C37" s="2" t="s">
        <v>152</v>
      </c>
      <c r="D37" s="2" t="s">
        <v>153</v>
      </c>
      <c r="E37" s="2" t="s">
        <v>56</v>
      </c>
      <c r="F37" s="2" t="s">
        <v>154</v>
      </c>
      <c r="G37" s="2" t="s">
        <v>155</v>
      </c>
      <c r="H37" s="2" t="s">
        <v>157</v>
      </c>
      <c r="I37" s="2" t="s">
        <v>156</v>
      </c>
      <c r="J37" s="2" t="s">
        <v>432</v>
      </c>
      <c r="K37" s="2" t="n">
        <v>351</v>
      </c>
      <c r="L37" s="4" t="n">
        <v>46275</v>
      </c>
      <c r="M37" s="4" t="n">
        <v>46295</v>
      </c>
      <c r="N37" s="4" t="n">
        <v>46295</v>
      </c>
      <c r="O37" s="2" t="s">
        <v>433</v>
      </c>
      <c r="P37" s="4"/>
      <c r="Q37" s="2" t="s">
        <v>434</v>
      </c>
      <c r="R37" s="4" t="n">
        <v>46309</v>
      </c>
      <c r="S37" s="2"/>
      <c r="T37" s="2"/>
    </row>
    <row r="38" customFormat="false" ht="23.85" hidden="false" customHeight="false" outlineLevel="0" collapsed="false">
      <c r="A38" s="2" t="s">
        <v>431</v>
      </c>
      <c r="B38" s="2" t="n">
        <v>47</v>
      </c>
      <c r="C38" s="2" t="s">
        <v>158</v>
      </c>
      <c r="D38" s="2" t="s">
        <v>153</v>
      </c>
      <c r="E38" s="2" t="s">
        <v>56</v>
      </c>
      <c r="F38" s="2" t="s">
        <v>154</v>
      </c>
      <c r="G38" s="2" t="s">
        <v>159</v>
      </c>
      <c r="H38" s="2" t="s">
        <v>157</v>
      </c>
      <c r="I38" s="2" t="s">
        <v>160</v>
      </c>
      <c r="J38" s="2" t="s">
        <v>432</v>
      </c>
      <c r="K38" s="2" t="n">
        <v>525</v>
      </c>
      <c r="L38" s="4" t="n">
        <v>46275</v>
      </c>
      <c r="M38" s="4" t="n">
        <v>46295</v>
      </c>
      <c r="N38" s="4" t="n">
        <v>46295</v>
      </c>
      <c r="O38" s="2" t="s">
        <v>433</v>
      </c>
      <c r="P38" s="4"/>
      <c r="Q38" s="2" t="s">
        <v>434</v>
      </c>
      <c r="R38" s="4" t="n">
        <v>46309</v>
      </c>
      <c r="S38" s="2"/>
      <c r="T38" s="2"/>
    </row>
    <row r="39" customFormat="false" ht="23.85" hidden="false" customHeight="false" outlineLevel="0" collapsed="false">
      <c r="A39" s="2" t="s">
        <v>431</v>
      </c>
      <c r="B39" s="2" t="n">
        <v>48</v>
      </c>
      <c r="C39" s="2" t="s">
        <v>161</v>
      </c>
      <c r="D39" s="2" t="s">
        <v>153</v>
      </c>
      <c r="E39" s="2" t="s">
        <v>56</v>
      </c>
      <c r="F39" s="2" t="s">
        <v>154</v>
      </c>
      <c r="G39" s="2" t="s">
        <v>162</v>
      </c>
      <c r="H39" s="2" t="s">
        <v>157</v>
      </c>
      <c r="I39" s="2" t="s">
        <v>84</v>
      </c>
      <c r="J39" s="2" t="s">
        <v>432</v>
      </c>
      <c r="K39" s="2" t="n">
        <v>852</v>
      </c>
      <c r="L39" s="4" t="n">
        <v>46275</v>
      </c>
      <c r="M39" s="4" t="n">
        <v>46295</v>
      </c>
      <c r="N39" s="4" t="n">
        <v>46296</v>
      </c>
      <c r="O39" s="2" t="s">
        <v>433</v>
      </c>
      <c r="P39" s="4"/>
      <c r="Q39" s="2" t="s">
        <v>434</v>
      </c>
      <c r="R39" s="4" t="n">
        <v>46309</v>
      </c>
      <c r="S39" s="2"/>
      <c r="T39" s="2"/>
    </row>
    <row r="40" customFormat="false" ht="23.85" hidden="false" customHeight="false" outlineLevel="0" collapsed="false">
      <c r="A40" s="2" t="s">
        <v>431</v>
      </c>
      <c r="B40" s="2" t="n">
        <v>49</v>
      </c>
      <c r="C40" s="2" t="s">
        <v>163</v>
      </c>
      <c r="D40" s="2" t="s">
        <v>153</v>
      </c>
      <c r="E40" s="2" t="s">
        <v>56</v>
      </c>
      <c r="F40" s="2" t="s">
        <v>164</v>
      </c>
      <c r="G40" s="2" t="s">
        <v>165</v>
      </c>
      <c r="H40" s="2" t="s">
        <v>166</v>
      </c>
      <c r="I40" s="2" t="s">
        <v>69</v>
      </c>
      <c r="J40" s="2" t="s">
        <v>432</v>
      </c>
      <c r="K40" s="2" t="n">
        <v>650</v>
      </c>
      <c r="L40" s="4" t="n">
        <v>46275</v>
      </c>
      <c r="M40" s="4" t="n">
        <v>46296</v>
      </c>
      <c r="N40" s="4" t="n">
        <v>46297</v>
      </c>
      <c r="O40" s="2" t="s">
        <v>433</v>
      </c>
      <c r="P40" s="4"/>
      <c r="Q40" s="2" t="s">
        <v>434</v>
      </c>
      <c r="R40" s="4" t="n">
        <v>46309</v>
      </c>
      <c r="S40" s="2"/>
      <c r="T40" s="2"/>
    </row>
    <row r="41" customFormat="false" ht="23.85" hidden="false" customHeight="false" outlineLevel="0" collapsed="false">
      <c r="A41" s="2" t="s">
        <v>431</v>
      </c>
      <c r="B41" s="2" t="n">
        <v>50</v>
      </c>
      <c r="C41" s="2" t="s">
        <v>167</v>
      </c>
      <c r="D41" s="2" t="s">
        <v>153</v>
      </c>
      <c r="E41" s="2" t="s">
        <v>56</v>
      </c>
      <c r="F41" s="2" t="s">
        <v>164</v>
      </c>
      <c r="G41" s="2" t="s">
        <v>168</v>
      </c>
      <c r="H41" s="2" t="s">
        <v>166</v>
      </c>
      <c r="I41" s="2" t="s">
        <v>69</v>
      </c>
      <c r="J41" s="2" t="s">
        <v>432</v>
      </c>
      <c r="K41" s="2" t="n">
        <v>650</v>
      </c>
      <c r="L41" s="4" t="n">
        <v>46275</v>
      </c>
      <c r="M41" s="4" t="n">
        <v>46297</v>
      </c>
      <c r="N41" s="4" t="n">
        <v>46300</v>
      </c>
      <c r="O41" s="2" t="s">
        <v>433</v>
      </c>
      <c r="P41" s="4"/>
      <c r="Q41" s="2" t="s">
        <v>434</v>
      </c>
      <c r="R41" s="4" t="n">
        <v>46309</v>
      </c>
      <c r="S41" s="2"/>
      <c r="T41" s="2"/>
    </row>
    <row r="42" customFormat="false" ht="23.85" hidden="false" customHeight="false" outlineLevel="0" collapsed="false">
      <c r="A42" s="2" t="s">
        <v>431</v>
      </c>
      <c r="B42" s="2" t="n">
        <v>51</v>
      </c>
      <c r="C42" s="2" t="s">
        <v>169</v>
      </c>
      <c r="D42" s="2" t="s">
        <v>153</v>
      </c>
      <c r="E42" s="2" t="s">
        <v>56</v>
      </c>
      <c r="F42" s="2" t="s">
        <v>164</v>
      </c>
      <c r="G42" s="2" t="s">
        <v>170</v>
      </c>
      <c r="H42" s="2" t="s">
        <v>166</v>
      </c>
      <c r="I42" s="2" t="s">
        <v>84</v>
      </c>
      <c r="J42" s="2" t="s">
        <v>432</v>
      </c>
      <c r="K42" s="2" t="n">
        <v>300</v>
      </c>
      <c r="L42" s="4" t="n">
        <v>46275</v>
      </c>
      <c r="M42" s="4" t="n">
        <v>46300</v>
      </c>
      <c r="N42" s="4" t="n">
        <v>46300</v>
      </c>
      <c r="O42" s="2" t="s">
        <v>433</v>
      </c>
      <c r="P42" s="4"/>
      <c r="Q42" s="2" t="s">
        <v>434</v>
      </c>
      <c r="R42" s="4" t="n">
        <v>46309</v>
      </c>
      <c r="S42" s="2"/>
      <c r="T42" s="2"/>
    </row>
    <row r="43" customFormat="false" ht="23.85" hidden="false" customHeight="false" outlineLevel="0" collapsed="false">
      <c r="A43" s="2" t="s">
        <v>431</v>
      </c>
      <c r="B43" s="2" t="n">
        <v>52</v>
      </c>
      <c r="C43" s="2" t="s">
        <v>171</v>
      </c>
      <c r="D43" s="2" t="s">
        <v>153</v>
      </c>
      <c r="E43" s="2" t="s">
        <v>56</v>
      </c>
      <c r="F43" s="2" t="s">
        <v>172</v>
      </c>
      <c r="G43" s="2" t="s">
        <v>173</v>
      </c>
      <c r="H43" s="2" t="s">
        <v>175</v>
      </c>
      <c r="I43" s="2" t="s">
        <v>174</v>
      </c>
      <c r="J43" s="2" t="s">
        <v>432</v>
      </c>
      <c r="K43" s="2" t="n">
        <v>300</v>
      </c>
      <c r="L43" s="4" t="n">
        <v>46275</v>
      </c>
      <c r="M43" s="4" t="n">
        <v>46300</v>
      </c>
      <c r="N43" s="4" t="n">
        <v>46300</v>
      </c>
      <c r="O43" s="2" t="s">
        <v>433</v>
      </c>
      <c r="P43" s="4"/>
      <c r="Q43" s="2" t="s">
        <v>434</v>
      </c>
      <c r="R43" s="4" t="n">
        <v>46309</v>
      </c>
      <c r="S43" s="2"/>
      <c r="T43" s="2"/>
    </row>
    <row r="44" customFormat="false" ht="23.85" hidden="false" customHeight="false" outlineLevel="0" collapsed="false">
      <c r="A44" s="2" t="s">
        <v>431</v>
      </c>
      <c r="B44" s="2" t="n">
        <v>53</v>
      </c>
      <c r="C44" s="2" t="s">
        <v>176</v>
      </c>
      <c r="D44" s="2" t="s">
        <v>153</v>
      </c>
      <c r="E44" s="2" t="s">
        <v>56</v>
      </c>
      <c r="F44" s="2" t="s">
        <v>172</v>
      </c>
      <c r="G44" s="2" t="s">
        <v>177</v>
      </c>
      <c r="H44" s="2" t="s">
        <v>175</v>
      </c>
      <c r="I44" s="2" t="s">
        <v>178</v>
      </c>
      <c r="J44" s="2" t="s">
        <v>432</v>
      </c>
      <c r="K44" s="2" t="n">
        <v>360</v>
      </c>
      <c r="L44" s="4" t="n">
        <v>46275</v>
      </c>
      <c r="M44" s="4" t="n">
        <v>46300</v>
      </c>
      <c r="N44" s="4" t="n">
        <v>46301</v>
      </c>
      <c r="O44" s="2" t="s">
        <v>433</v>
      </c>
      <c r="P44" s="4"/>
      <c r="Q44" s="2" t="s">
        <v>434</v>
      </c>
      <c r="R44" s="4" t="n">
        <v>46309</v>
      </c>
      <c r="S44" s="2"/>
      <c r="T44" s="2"/>
    </row>
    <row r="45" customFormat="false" ht="23.85" hidden="false" customHeight="false" outlineLevel="0" collapsed="false">
      <c r="A45" s="2" t="s">
        <v>431</v>
      </c>
      <c r="B45" s="2" t="n">
        <v>54</v>
      </c>
      <c r="C45" s="2" t="s">
        <v>179</v>
      </c>
      <c r="D45" s="2" t="s">
        <v>153</v>
      </c>
      <c r="E45" s="2" t="s">
        <v>56</v>
      </c>
      <c r="F45" s="2" t="s">
        <v>172</v>
      </c>
      <c r="G45" s="2" t="s">
        <v>180</v>
      </c>
      <c r="H45" s="2" t="s">
        <v>175</v>
      </c>
      <c r="I45" s="2" t="s">
        <v>160</v>
      </c>
      <c r="J45" s="2" t="s">
        <v>432</v>
      </c>
      <c r="K45" s="2" t="n">
        <v>530</v>
      </c>
      <c r="L45" s="4" t="n">
        <v>46275</v>
      </c>
      <c r="M45" s="4" t="n">
        <v>46301</v>
      </c>
      <c r="N45" s="4" t="n">
        <v>46301</v>
      </c>
      <c r="O45" s="2" t="s">
        <v>433</v>
      </c>
      <c r="P45" s="4"/>
      <c r="Q45" s="2" t="s">
        <v>434</v>
      </c>
      <c r="R45" s="4" t="n">
        <v>46309</v>
      </c>
      <c r="S45" s="2"/>
      <c r="T45" s="2"/>
    </row>
    <row r="46" customFormat="false" ht="23.85" hidden="false" customHeight="false" outlineLevel="0" collapsed="false">
      <c r="A46" s="2" t="s">
        <v>431</v>
      </c>
      <c r="B46" s="2" t="n">
        <v>55</v>
      </c>
      <c r="C46" s="2" t="s">
        <v>181</v>
      </c>
      <c r="D46" s="2" t="s">
        <v>153</v>
      </c>
      <c r="E46" s="2" t="s">
        <v>56</v>
      </c>
      <c r="F46" s="2" t="s">
        <v>172</v>
      </c>
      <c r="G46" s="2" t="s">
        <v>182</v>
      </c>
      <c r="H46" s="2" t="s">
        <v>175</v>
      </c>
      <c r="I46" s="2" t="s">
        <v>84</v>
      </c>
      <c r="J46" s="2" t="s">
        <v>432</v>
      </c>
      <c r="K46" s="2" t="n">
        <v>564</v>
      </c>
      <c r="L46" s="4" t="n">
        <v>46275</v>
      </c>
      <c r="M46" s="4" t="n">
        <v>46301</v>
      </c>
      <c r="N46" s="4" t="n">
        <v>46302</v>
      </c>
      <c r="O46" s="2" t="s">
        <v>433</v>
      </c>
      <c r="P46" s="4"/>
      <c r="Q46" s="2" t="s">
        <v>434</v>
      </c>
      <c r="R46" s="4" t="n">
        <v>46309</v>
      </c>
      <c r="S46" s="2"/>
      <c r="T46" s="2"/>
    </row>
    <row r="47" customFormat="false" ht="23.85" hidden="false" customHeight="false" outlineLevel="0" collapsed="false">
      <c r="A47" s="2" t="s">
        <v>431</v>
      </c>
      <c r="B47" s="2" t="n">
        <v>56</v>
      </c>
      <c r="C47" s="2" t="s">
        <v>183</v>
      </c>
      <c r="D47" s="2" t="s">
        <v>153</v>
      </c>
      <c r="E47" s="2" t="s">
        <v>56</v>
      </c>
      <c r="F47" s="2" t="s">
        <v>172</v>
      </c>
      <c r="G47" s="2" t="s">
        <v>184</v>
      </c>
      <c r="H47" s="2" t="s">
        <v>175</v>
      </c>
      <c r="I47" s="2" t="s">
        <v>156</v>
      </c>
      <c r="J47" s="2" t="s">
        <v>432</v>
      </c>
      <c r="K47" s="2" t="n">
        <v>983</v>
      </c>
      <c r="L47" s="4" t="n">
        <v>46280</v>
      </c>
      <c r="M47" s="4" t="n">
        <v>46302</v>
      </c>
      <c r="N47" s="4" t="n">
        <v>46303</v>
      </c>
      <c r="O47" s="2" t="s">
        <v>433</v>
      </c>
      <c r="P47" s="4"/>
      <c r="Q47" s="2" t="s">
        <v>434</v>
      </c>
      <c r="R47" s="4" t="n">
        <v>46309</v>
      </c>
      <c r="S47" s="2"/>
      <c r="T47" s="2"/>
    </row>
    <row r="48" customFormat="false" ht="23.85" hidden="false" customHeight="false" outlineLevel="0" collapsed="false">
      <c r="A48" s="2" t="s">
        <v>431</v>
      </c>
      <c r="B48" s="2" t="n">
        <v>57</v>
      </c>
      <c r="C48" s="2" t="s">
        <v>185</v>
      </c>
      <c r="D48" s="2" t="s">
        <v>153</v>
      </c>
      <c r="E48" s="2" t="s">
        <v>56</v>
      </c>
      <c r="F48" s="2" t="s">
        <v>172</v>
      </c>
      <c r="G48" s="2" t="s">
        <v>186</v>
      </c>
      <c r="H48" s="2" t="s">
        <v>175</v>
      </c>
      <c r="I48" s="2" t="s">
        <v>187</v>
      </c>
      <c r="J48" s="2" t="s">
        <v>432</v>
      </c>
      <c r="K48" s="2" t="n">
        <v>1470</v>
      </c>
      <c r="L48" s="4" t="n">
        <v>46280</v>
      </c>
      <c r="M48" s="4" t="n">
        <v>46303</v>
      </c>
      <c r="N48" s="4" t="n">
        <v>46304</v>
      </c>
      <c r="O48" s="2" t="s">
        <v>433</v>
      </c>
      <c r="P48" s="4"/>
      <c r="Q48" s="2" t="s">
        <v>434</v>
      </c>
      <c r="R48" s="4" t="n">
        <v>46317</v>
      </c>
      <c r="S48" s="2"/>
      <c r="T48" s="2"/>
    </row>
    <row r="49" customFormat="false" ht="23.85" hidden="false" customHeight="false" outlineLevel="0" collapsed="false">
      <c r="A49" s="2" t="s">
        <v>431</v>
      </c>
      <c r="B49" s="2" t="n">
        <v>58</v>
      </c>
      <c r="C49" s="2" t="s">
        <v>188</v>
      </c>
      <c r="D49" s="2" t="s">
        <v>153</v>
      </c>
      <c r="E49" s="2" t="s">
        <v>56</v>
      </c>
      <c r="F49" s="2" t="s">
        <v>172</v>
      </c>
      <c r="G49" s="2" t="s">
        <v>189</v>
      </c>
      <c r="H49" s="2" t="s">
        <v>175</v>
      </c>
      <c r="I49" s="2" t="s">
        <v>187</v>
      </c>
      <c r="J49" s="2" t="s">
        <v>432</v>
      </c>
      <c r="K49" s="2" t="n">
        <v>9</v>
      </c>
      <c r="L49" s="4" t="n">
        <v>46280</v>
      </c>
      <c r="M49" s="4" t="n">
        <v>46303</v>
      </c>
      <c r="N49" s="4" t="n">
        <v>46304</v>
      </c>
      <c r="O49" s="2" t="s">
        <v>433</v>
      </c>
      <c r="P49" s="4"/>
      <c r="Q49" s="2" t="s">
        <v>434</v>
      </c>
      <c r="R49" s="4" t="n">
        <v>46317</v>
      </c>
      <c r="S49" s="2"/>
      <c r="T49" s="2"/>
    </row>
    <row r="50" customFormat="false" ht="23.85" hidden="false" customHeight="false" outlineLevel="0" collapsed="false">
      <c r="A50" s="2" t="s">
        <v>431</v>
      </c>
      <c r="B50" s="2" t="n">
        <v>59</v>
      </c>
      <c r="C50" s="2" t="s">
        <v>190</v>
      </c>
      <c r="D50" s="2" t="s">
        <v>153</v>
      </c>
      <c r="E50" s="2" t="s">
        <v>56</v>
      </c>
      <c r="F50" s="2" t="s">
        <v>172</v>
      </c>
      <c r="G50" s="2" t="s">
        <v>191</v>
      </c>
      <c r="H50" s="2" t="s">
        <v>175</v>
      </c>
      <c r="I50" s="2" t="s">
        <v>187</v>
      </c>
      <c r="J50" s="2" t="s">
        <v>432</v>
      </c>
      <c r="K50" s="2" t="n">
        <v>1950</v>
      </c>
      <c r="L50" s="4" t="n">
        <v>46282</v>
      </c>
      <c r="M50" s="4" t="n">
        <v>46304</v>
      </c>
      <c r="N50" s="4" t="n">
        <v>46308</v>
      </c>
      <c r="O50" s="2" t="s">
        <v>433</v>
      </c>
      <c r="P50" s="4"/>
      <c r="Q50" s="2" t="s">
        <v>434</v>
      </c>
      <c r="R50" s="4" t="n">
        <v>46317</v>
      </c>
      <c r="S50" s="2"/>
      <c r="T50" s="2"/>
    </row>
    <row r="51" customFormat="false" ht="23.85" hidden="false" customHeight="false" outlineLevel="0" collapsed="false">
      <c r="A51" s="2" t="s">
        <v>431</v>
      </c>
      <c r="B51" s="2" t="n">
        <v>60</v>
      </c>
      <c r="C51" s="2" t="s">
        <v>192</v>
      </c>
      <c r="D51" s="2" t="s">
        <v>153</v>
      </c>
      <c r="E51" s="2" t="s">
        <v>56</v>
      </c>
      <c r="F51" s="2" t="s">
        <v>154</v>
      </c>
      <c r="G51" s="2" t="s">
        <v>193</v>
      </c>
      <c r="H51" s="2" t="s">
        <v>157</v>
      </c>
      <c r="I51" s="2" t="s">
        <v>194</v>
      </c>
      <c r="J51" s="2" t="s">
        <v>432</v>
      </c>
      <c r="K51" s="2" t="n">
        <v>365</v>
      </c>
      <c r="L51" s="4" t="n">
        <v>46282</v>
      </c>
      <c r="M51" s="4" t="n">
        <v>46308</v>
      </c>
      <c r="N51" s="4" t="n">
        <v>46309</v>
      </c>
      <c r="O51" s="2" t="s">
        <v>433</v>
      </c>
      <c r="P51" s="4"/>
      <c r="Q51" s="2" t="s">
        <v>434</v>
      </c>
      <c r="R51" s="4" t="n">
        <v>46315</v>
      </c>
      <c r="S51" s="2"/>
      <c r="T51" s="2"/>
    </row>
    <row r="52" customFormat="false" ht="23.85" hidden="false" customHeight="false" outlineLevel="0" collapsed="false">
      <c r="A52" s="2" t="s">
        <v>431</v>
      </c>
      <c r="B52" s="2" t="n">
        <v>61</v>
      </c>
      <c r="C52" s="2" t="s">
        <v>195</v>
      </c>
      <c r="D52" s="2" t="s">
        <v>153</v>
      </c>
      <c r="E52" s="2" t="s">
        <v>56</v>
      </c>
      <c r="F52" s="2" t="s">
        <v>154</v>
      </c>
      <c r="G52" s="2" t="s">
        <v>196</v>
      </c>
      <c r="H52" s="2" t="s">
        <v>157</v>
      </c>
      <c r="I52" s="2" t="s">
        <v>94</v>
      </c>
      <c r="J52" s="2" t="s">
        <v>432</v>
      </c>
      <c r="K52" s="2" t="n">
        <v>419</v>
      </c>
      <c r="L52" s="4" t="n">
        <v>46287</v>
      </c>
      <c r="M52" s="4" t="n">
        <v>46309</v>
      </c>
      <c r="N52" s="4" t="n">
        <v>46309</v>
      </c>
      <c r="O52" s="2" t="s">
        <v>433</v>
      </c>
      <c r="P52" s="4"/>
      <c r="Q52" s="2" t="s">
        <v>434</v>
      </c>
      <c r="R52" s="4" t="n">
        <v>46317</v>
      </c>
      <c r="S52" s="2"/>
      <c r="T52" s="2"/>
    </row>
    <row r="53" customFormat="false" ht="23.85" hidden="false" customHeight="false" outlineLevel="0" collapsed="false">
      <c r="A53" s="2" t="s">
        <v>431</v>
      </c>
      <c r="B53" s="2" t="n">
        <v>62</v>
      </c>
      <c r="C53" s="2" t="s">
        <v>197</v>
      </c>
      <c r="D53" s="2" t="s">
        <v>153</v>
      </c>
      <c r="E53" s="2" t="s">
        <v>56</v>
      </c>
      <c r="F53" s="2" t="s">
        <v>154</v>
      </c>
      <c r="G53" s="2" t="s">
        <v>198</v>
      </c>
      <c r="H53" s="2" t="s">
        <v>157</v>
      </c>
      <c r="I53" s="2" t="s">
        <v>94</v>
      </c>
      <c r="J53" s="2" t="s">
        <v>432</v>
      </c>
      <c r="K53" s="2" t="n">
        <v>190</v>
      </c>
      <c r="L53" s="4" t="n">
        <v>46287</v>
      </c>
      <c r="M53" s="4" t="n">
        <v>46309</v>
      </c>
      <c r="N53" s="4" t="n">
        <v>46309</v>
      </c>
      <c r="O53" s="2" t="s">
        <v>433</v>
      </c>
      <c r="P53" s="4"/>
      <c r="Q53" s="2" t="s">
        <v>434</v>
      </c>
      <c r="R53" s="4" t="n">
        <v>46325</v>
      </c>
      <c r="S53" s="2"/>
      <c r="T53" s="2"/>
    </row>
    <row r="54" customFormat="false" ht="23.85" hidden="false" customHeight="false" outlineLevel="0" collapsed="false">
      <c r="A54" s="2" t="s">
        <v>431</v>
      </c>
      <c r="B54" s="2" t="n">
        <v>63</v>
      </c>
      <c r="C54" s="2" t="s">
        <v>199</v>
      </c>
      <c r="D54" s="2" t="s">
        <v>153</v>
      </c>
      <c r="E54" s="2" t="s">
        <v>56</v>
      </c>
      <c r="F54" s="2" t="s">
        <v>154</v>
      </c>
      <c r="G54" s="2" t="s">
        <v>200</v>
      </c>
      <c r="H54" s="2" t="s">
        <v>157</v>
      </c>
      <c r="I54" s="2" t="s">
        <v>116</v>
      </c>
      <c r="J54" s="2" t="s">
        <v>432</v>
      </c>
      <c r="K54" s="2" t="n">
        <v>690</v>
      </c>
      <c r="L54" s="4" t="n">
        <v>46287</v>
      </c>
      <c r="M54" s="4" t="n">
        <v>46309</v>
      </c>
      <c r="N54" s="4" t="n">
        <v>46310</v>
      </c>
      <c r="O54" s="2" t="s">
        <v>433</v>
      </c>
      <c r="P54" s="4"/>
      <c r="Q54" s="2" t="s">
        <v>434</v>
      </c>
      <c r="R54" s="4" t="n">
        <v>46325</v>
      </c>
      <c r="S54" s="2"/>
      <c r="T54" s="2"/>
    </row>
    <row r="55" customFormat="false" ht="23.85" hidden="false" customHeight="false" outlineLevel="0" collapsed="false">
      <c r="A55" s="2" t="s">
        <v>431</v>
      </c>
      <c r="B55" s="2" t="n">
        <v>64</v>
      </c>
      <c r="C55" s="2" t="s">
        <v>201</v>
      </c>
      <c r="D55" s="2" t="s">
        <v>153</v>
      </c>
      <c r="E55" s="2" t="s">
        <v>56</v>
      </c>
      <c r="F55" s="2" t="s">
        <v>154</v>
      </c>
      <c r="G55" s="2" t="s">
        <v>202</v>
      </c>
      <c r="H55" s="2" t="s">
        <v>157</v>
      </c>
      <c r="I55" s="2" t="s">
        <v>116</v>
      </c>
      <c r="J55" s="2" t="s">
        <v>432</v>
      </c>
      <c r="K55" s="2" t="n">
        <v>1884</v>
      </c>
      <c r="L55" s="4" t="n">
        <v>46287</v>
      </c>
      <c r="M55" s="4" t="n">
        <v>46310</v>
      </c>
      <c r="N55" s="4" t="n">
        <v>46314</v>
      </c>
      <c r="O55" s="2" t="s">
        <v>433</v>
      </c>
      <c r="P55" s="4"/>
      <c r="Q55" s="2" t="s">
        <v>434</v>
      </c>
      <c r="R55" s="4" t="n">
        <v>46325</v>
      </c>
      <c r="S55" s="2"/>
      <c r="T55" s="2"/>
    </row>
    <row r="56" customFormat="false" ht="23.85" hidden="false" customHeight="false" outlineLevel="0" collapsed="false">
      <c r="A56" s="2" t="s">
        <v>431</v>
      </c>
      <c r="B56" s="2" t="n">
        <v>65</v>
      </c>
      <c r="C56" s="2" t="s">
        <v>203</v>
      </c>
      <c r="D56" s="2" t="s">
        <v>153</v>
      </c>
      <c r="E56" s="2" t="s">
        <v>56</v>
      </c>
      <c r="F56" s="2" t="s">
        <v>164</v>
      </c>
      <c r="G56" s="2" t="s">
        <v>204</v>
      </c>
      <c r="H56" s="2" t="s">
        <v>166</v>
      </c>
      <c r="I56" s="2" t="s">
        <v>69</v>
      </c>
      <c r="J56" s="2" t="s">
        <v>432</v>
      </c>
      <c r="K56" s="2" t="n">
        <v>315</v>
      </c>
      <c r="L56" s="4" t="n">
        <v>46289</v>
      </c>
      <c r="M56" s="4" t="n">
        <v>46314</v>
      </c>
      <c r="N56" s="4" t="n">
        <v>46314</v>
      </c>
      <c r="O56" s="2" t="s">
        <v>433</v>
      </c>
      <c r="P56" s="4"/>
      <c r="Q56" s="2" t="s">
        <v>434</v>
      </c>
      <c r="R56" s="4" t="n">
        <v>46325</v>
      </c>
      <c r="S56" s="2"/>
      <c r="T56" s="2"/>
    </row>
    <row r="57" customFormat="false" ht="23.85" hidden="false" customHeight="false" outlineLevel="0" collapsed="false">
      <c r="A57" s="2" t="s">
        <v>431</v>
      </c>
      <c r="B57" s="2" t="n">
        <v>66</v>
      </c>
      <c r="C57" s="2" t="s">
        <v>205</v>
      </c>
      <c r="D57" s="2" t="s">
        <v>153</v>
      </c>
      <c r="E57" s="2" t="s">
        <v>56</v>
      </c>
      <c r="F57" s="2" t="s">
        <v>164</v>
      </c>
      <c r="G57" s="2" t="s">
        <v>206</v>
      </c>
      <c r="H57" s="2" t="s">
        <v>166</v>
      </c>
      <c r="I57" s="2" t="s">
        <v>69</v>
      </c>
      <c r="J57" s="2" t="s">
        <v>432</v>
      </c>
      <c r="K57" s="2" t="n">
        <v>9</v>
      </c>
      <c r="L57" s="4" t="n">
        <v>46289</v>
      </c>
      <c r="M57" s="4" t="n">
        <v>46314</v>
      </c>
      <c r="N57" s="4" t="n">
        <v>46314</v>
      </c>
      <c r="O57" s="2" t="s">
        <v>433</v>
      </c>
      <c r="P57" s="4"/>
      <c r="Q57" s="2" t="s">
        <v>434</v>
      </c>
      <c r="R57" s="4" t="n">
        <v>46325</v>
      </c>
      <c r="S57" s="2"/>
      <c r="T57" s="2"/>
    </row>
    <row r="58" customFormat="false" ht="23.85" hidden="false" customHeight="false" outlineLevel="0" collapsed="false">
      <c r="A58" s="2" t="s">
        <v>431</v>
      </c>
      <c r="B58" s="2" t="n">
        <v>67</v>
      </c>
      <c r="C58" s="2" t="s">
        <v>207</v>
      </c>
      <c r="D58" s="2" t="s">
        <v>153</v>
      </c>
      <c r="E58" s="2" t="s">
        <v>56</v>
      </c>
      <c r="F58" s="2" t="s">
        <v>164</v>
      </c>
      <c r="G58" s="2" t="s">
        <v>208</v>
      </c>
      <c r="H58" s="2" t="s">
        <v>166</v>
      </c>
      <c r="I58" s="2" t="s">
        <v>69</v>
      </c>
      <c r="J58" s="2" t="s">
        <v>432</v>
      </c>
      <c r="K58" s="2" t="n">
        <v>2041</v>
      </c>
      <c r="L58" s="4" t="n">
        <v>46289</v>
      </c>
      <c r="M58" s="4" t="n">
        <v>46314</v>
      </c>
      <c r="N58" s="4" t="n">
        <v>46317</v>
      </c>
      <c r="O58" s="2" t="s">
        <v>433</v>
      </c>
      <c r="P58" s="4"/>
      <c r="Q58" s="2" t="s">
        <v>434</v>
      </c>
      <c r="R58" s="4" t="n">
        <v>46325</v>
      </c>
      <c r="S58" s="2"/>
      <c r="T58" s="2"/>
    </row>
    <row r="59" customFormat="false" ht="23.85" hidden="false" customHeight="false" outlineLevel="0" collapsed="false">
      <c r="A59" s="2" t="s">
        <v>431</v>
      </c>
      <c r="B59" s="2" t="n">
        <v>68</v>
      </c>
      <c r="C59" s="2" t="s">
        <v>209</v>
      </c>
      <c r="D59" s="2" t="s">
        <v>153</v>
      </c>
      <c r="E59" s="2" t="s">
        <v>56</v>
      </c>
      <c r="F59" s="2" t="s">
        <v>154</v>
      </c>
      <c r="G59" s="2" t="s">
        <v>210</v>
      </c>
      <c r="H59" s="2" t="s">
        <v>157</v>
      </c>
      <c r="I59" s="2" t="s">
        <v>69</v>
      </c>
      <c r="J59" s="2" t="s">
        <v>432</v>
      </c>
      <c r="K59" s="2" t="n">
        <v>418</v>
      </c>
      <c r="L59" s="4" t="n">
        <v>46289</v>
      </c>
      <c r="M59" s="4" t="n">
        <v>46317</v>
      </c>
      <c r="N59" s="4" t="n">
        <v>46317</v>
      </c>
      <c r="O59" s="2" t="s">
        <v>433</v>
      </c>
      <c r="P59" s="4"/>
      <c r="Q59" s="2" t="s">
        <v>434</v>
      </c>
      <c r="R59" s="4" t="n">
        <v>46332</v>
      </c>
      <c r="S59" s="2"/>
      <c r="T59" s="2"/>
    </row>
    <row r="60" customFormat="false" ht="23.85" hidden="false" customHeight="false" outlineLevel="0" collapsed="false">
      <c r="A60" s="2" t="s">
        <v>431</v>
      </c>
      <c r="B60" s="2" t="n">
        <v>69</v>
      </c>
      <c r="C60" s="2" t="s">
        <v>211</v>
      </c>
      <c r="D60" s="2" t="s">
        <v>153</v>
      </c>
      <c r="E60" s="2" t="s">
        <v>56</v>
      </c>
      <c r="F60" s="2" t="s">
        <v>154</v>
      </c>
      <c r="G60" s="2" t="s">
        <v>212</v>
      </c>
      <c r="H60" s="2" t="s">
        <v>157</v>
      </c>
      <c r="I60" s="2" t="s">
        <v>69</v>
      </c>
      <c r="J60" s="2" t="s">
        <v>432</v>
      </c>
      <c r="K60" s="2" t="n">
        <v>9</v>
      </c>
      <c r="L60" s="4" t="n">
        <v>46289</v>
      </c>
      <c r="M60" s="4" t="n">
        <v>46317</v>
      </c>
      <c r="N60" s="4" t="n">
        <v>46317</v>
      </c>
      <c r="O60" s="2" t="s">
        <v>433</v>
      </c>
      <c r="P60" s="4"/>
      <c r="Q60" s="2" t="s">
        <v>434</v>
      </c>
      <c r="R60" s="4" t="n">
        <v>46332</v>
      </c>
      <c r="S60" s="2"/>
      <c r="T60" s="2"/>
    </row>
    <row r="61" customFormat="false" ht="23.85" hidden="false" customHeight="false" outlineLevel="0" collapsed="false">
      <c r="A61" s="2" t="s">
        <v>436</v>
      </c>
      <c r="B61" s="2" t="n">
        <v>6</v>
      </c>
      <c r="C61" s="2" t="s">
        <v>54</v>
      </c>
      <c r="D61" s="2" t="s">
        <v>55</v>
      </c>
      <c r="E61" s="2" t="s">
        <v>56</v>
      </c>
      <c r="F61" s="2" t="s">
        <v>57</v>
      </c>
      <c r="G61" s="2" t="s">
        <v>58</v>
      </c>
      <c r="H61" s="2" t="s">
        <v>61</v>
      </c>
      <c r="I61" s="2" t="s">
        <v>60</v>
      </c>
      <c r="J61" s="2" t="s">
        <v>432</v>
      </c>
      <c r="K61" s="2" t="n">
        <v>155</v>
      </c>
      <c r="L61" s="4"/>
      <c r="M61" s="4"/>
      <c r="N61" s="4"/>
      <c r="O61" s="2" t="s">
        <v>437</v>
      </c>
      <c r="P61" s="4" t="n">
        <v>46233</v>
      </c>
      <c r="Q61" s="2" t="s">
        <v>433</v>
      </c>
      <c r="R61" s="4" t="n">
        <v>46217</v>
      </c>
      <c r="S61" s="2"/>
      <c r="T61" s="2" t="n">
        <v>155</v>
      </c>
    </row>
    <row r="62" customFormat="false" ht="23.85" hidden="false" customHeight="false" outlineLevel="0" collapsed="false">
      <c r="A62" s="2" t="s">
        <v>436</v>
      </c>
      <c r="B62" s="2" t="n">
        <v>14</v>
      </c>
      <c r="C62" s="2" t="s">
        <v>64</v>
      </c>
      <c r="D62" s="2" t="s">
        <v>55</v>
      </c>
      <c r="E62" s="2" t="s">
        <v>56</v>
      </c>
      <c r="F62" s="2" t="s">
        <v>57</v>
      </c>
      <c r="G62" s="2" t="s">
        <v>65</v>
      </c>
      <c r="H62" s="2" t="s">
        <v>61</v>
      </c>
      <c r="I62" s="2" t="s">
        <v>60</v>
      </c>
      <c r="J62" s="2" t="s">
        <v>432</v>
      </c>
      <c r="K62" s="2" t="n">
        <v>9</v>
      </c>
      <c r="L62" s="4"/>
      <c r="M62" s="4"/>
      <c r="N62" s="4"/>
      <c r="O62" s="2" t="s">
        <v>437</v>
      </c>
      <c r="P62" s="4" t="n">
        <v>46233</v>
      </c>
      <c r="Q62" s="2" t="s">
        <v>433</v>
      </c>
      <c r="R62" s="4" t="n">
        <v>46217</v>
      </c>
      <c r="S62" s="2"/>
      <c r="T62" s="2" t="n">
        <v>9</v>
      </c>
    </row>
    <row r="63" customFormat="false" ht="23.85" hidden="false" customHeight="false" outlineLevel="0" collapsed="false">
      <c r="A63" s="2" t="s">
        <v>436</v>
      </c>
      <c r="B63" s="2" t="n">
        <v>19</v>
      </c>
      <c r="C63" s="2" t="s">
        <v>67</v>
      </c>
      <c r="D63" s="2" t="s">
        <v>55</v>
      </c>
      <c r="E63" s="2" t="s">
        <v>56</v>
      </c>
      <c r="F63" s="2" t="s">
        <v>57</v>
      </c>
      <c r="G63" s="2" t="s">
        <v>68</v>
      </c>
      <c r="H63" s="2" t="s">
        <v>61</v>
      </c>
      <c r="I63" s="2" t="s">
        <v>69</v>
      </c>
      <c r="J63" s="2" t="s">
        <v>432</v>
      </c>
      <c r="K63" s="2" t="n">
        <v>650</v>
      </c>
      <c r="L63" s="4"/>
      <c r="M63" s="4"/>
      <c r="N63" s="4"/>
      <c r="O63" s="2" t="s">
        <v>437</v>
      </c>
      <c r="P63" s="4" t="n">
        <v>46233</v>
      </c>
      <c r="Q63" s="2" t="s">
        <v>433</v>
      </c>
      <c r="R63" s="4" t="n">
        <v>46217</v>
      </c>
      <c r="S63" s="2"/>
      <c r="T63" s="2" t="n">
        <v>650</v>
      </c>
    </row>
    <row r="64" customFormat="false" ht="23.85" hidden="false" customHeight="false" outlineLevel="0" collapsed="false">
      <c r="A64" s="2" t="s">
        <v>436</v>
      </c>
      <c r="B64" s="2" t="n">
        <v>26</v>
      </c>
      <c r="C64" s="2" t="s">
        <v>70</v>
      </c>
      <c r="D64" s="2" t="s">
        <v>55</v>
      </c>
      <c r="E64" s="2" t="s">
        <v>56</v>
      </c>
      <c r="F64" s="2" t="s">
        <v>57</v>
      </c>
      <c r="G64" s="2" t="s">
        <v>71</v>
      </c>
      <c r="H64" s="2" t="s">
        <v>61</v>
      </c>
      <c r="I64" s="2" t="s">
        <v>69</v>
      </c>
      <c r="J64" s="2" t="s">
        <v>432</v>
      </c>
      <c r="K64" s="2" t="n">
        <v>650</v>
      </c>
      <c r="L64" s="4"/>
      <c r="M64" s="4"/>
      <c r="N64" s="4"/>
      <c r="O64" s="2" t="s">
        <v>437</v>
      </c>
      <c r="P64" s="4" t="n">
        <v>46233</v>
      </c>
      <c r="Q64" s="2" t="s">
        <v>433</v>
      </c>
      <c r="R64" s="4" t="n">
        <v>46217</v>
      </c>
      <c r="S64" s="2"/>
      <c r="T64" s="2" t="n">
        <v>650</v>
      </c>
    </row>
    <row r="65" customFormat="false" ht="23.85" hidden="false" customHeight="false" outlineLevel="0" collapsed="false">
      <c r="A65" s="2" t="s">
        <v>436</v>
      </c>
      <c r="B65" s="2" t="n">
        <v>31</v>
      </c>
      <c r="C65" s="2" t="s">
        <v>72</v>
      </c>
      <c r="D65" s="2" t="s">
        <v>55</v>
      </c>
      <c r="E65" s="2" t="s">
        <v>56</v>
      </c>
      <c r="F65" s="2" t="s">
        <v>73</v>
      </c>
      <c r="G65" s="2" t="s">
        <v>74</v>
      </c>
      <c r="H65" s="2" t="s">
        <v>75</v>
      </c>
      <c r="I65" s="2" t="s">
        <v>60</v>
      </c>
      <c r="J65" s="2" t="s">
        <v>432</v>
      </c>
      <c r="K65" s="2" t="n">
        <v>181</v>
      </c>
      <c r="L65" s="4"/>
      <c r="M65" s="4"/>
      <c r="N65" s="4"/>
      <c r="O65" s="2" t="s">
        <v>437</v>
      </c>
      <c r="P65" s="4" t="n">
        <v>46233</v>
      </c>
      <c r="Q65" s="2" t="s">
        <v>433</v>
      </c>
      <c r="R65" s="4" t="n">
        <v>46217</v>
      </c>
      <c r="S65" s="2"/>
      <c r="T65" s="2" t="n">
        <v>181</v>
      </c>
    </row>
    <row r="66" customFormat="false" ht="23.85" hidden="false" customHeight="false" outlineLevel="0" collapsed="false">
      <c r="A66" s="2" t="s">
        <v>436</v>
      </c>
      <c r="B66" s="2" t="n">
        <v>36</v>
      </c>
      <c r="C66" s="2" t="s">
        <v>76</v>
      </c>
      <c r="D66" s="2" t="s">
        <v>55</v>
      </c>
      <c r="E66" s="2" t="s">
        <v>56</v>
      </c>
      <c r="F66" s="2" t="s">
        <v>73</v>
      </c>
      <c r="G66" s="2" t="s">
        <v>77</v>
      </c>
      <c r="H66" s="2" t="s">
        <v>75</v>
      </c>
      <c r="I66" s="2" t="s">
        <v>60</v>
      </c>
      <c r="J66" s="2" t="s">
        <v>432</v>
      </c>
      <c r="K66" s="2" t="n">
        <v>9</v>
      </c>
      <c r="L66" s="4"/>
      <c r="M66" s="4"/>
      <c r="N66" s="4"/>
      <c r="O66" s="2" t="s">
        <v>437</v>
      </c>
      <c r="P66" s="4" t="n">
        <v>46233</v>
      </c>
      <c r="Q66" s="2" t="s">
        <v>433</v>
      </c>
      <c r="R66" s="4" t="n">
        <v>46217</v>
      </c>
      <c r="S66" s="2"/>
      <c r="T66" s="2" t="n">
        <v>9</v>
      </c>
    </row>
    <row r="67" customFormat="false" ht="23.85" hidden="false" customHeight="false" outlineLevel="0" collapsed="false">
      <c r="A67" s="2" t="s">
        <v>436</v>
      </c>
      <c r="B67" s="2" t="n">
        <v>41</v>
      </c>
      <c r="C67" s="2" t="s">
        <v>78</v>
      </c>
      <c r="D67" s="2" t="s">
        <v>55</v>
      </c>
      <c r="E67" s="2" t="s">
        <v>56</v>
      </c>
      <c r="F67" s="2" t="s">
        <v>73</v>
      </c>
      <c r="G67" s="2" t="s">
        <v>79</v>
      </c>
      <c r="H67" s="2" t="s">
        <v>75</v>
      </c>
      <c r="I67" s="2" t="s">
        <v>80</v>
      </c>
      <c r="J67" s="2" t="s">
        <v>432</v>
      </c>
      <c r="K67" s="2" t="n">
        <v>6120</v>
      </c>
      <c r="L67" s="4"/>
      <c r="M67" s="4"/>
      <c r="N67" s="4"/>
      <c r="O67" s="2" t="s">
        <v>437</v>
      </c>
      <c r="P67" s="4" t="n">
        <v>46233</v>
      </c>
      <c r="Q67" s="2" t="s">
        <v>433</v>
      </c>
      <c r="R67" s="4" t="n">
        <v>46217</v>
      </c>
      <c r="S67" s="2"/>
      <c r="T67" s="2" t="n">
        <v>6120</v>
      </c>
    </row>
    <row r="68" customFormat="false" ht="23.85" hidden="false" customHeight="false" outlineLevel="0" collapsed="false">
      <c r="A68" s="2" t="s">
        <v>436</v>
      </c>
      <c r="B68" s="2" t="n">
        <v>46</v>
      </c>
      <c r="C68" s="2" t="s">
        <v>81</v>
      </c>
      <c r="D68" s="2" t="s">
        <v>55</v>
      </c>
      <c r="E68" s="2" t="s">
        <v>56</v>
      </c>
      <c r="F68" s="2" t="s">
        <v>82</v>
      </c>
      <c r="G68" s="2" t="s">
        <v>83</v>
      </c>
      <c r="H68" s="2" t="s">
        <v>85</v>
      </c>
      <c r="I68" s="2" t="s">
        <v>84</v>
      </c>
      <c r="J68" s="2" t="s">
        <v>432</v>
      </c>
      <c r="K68" s="2" t="n">
        <v>440</v>
      </c>
      <c r="L68" s="4"/>
      <c r="M68" s="4"/>
      <c r="N68" s="4"/>
      <c r="O68" s="2" t="s">
        <v>437</v>
      </c>
      <c r="P68" s="4" t="n">
        <v>46233</v>
      </c>
      <c r="Q68" s="2" t="s">
        <v>433</v>
      </c>
      <c r="R68" s="4" t="n">
        <v>46217</v>
      </c>
      <c r="S68" s="2"/>
      <c r="T68" s="2" t="n">
        <v>440</v>
      </c>
    </row>
    <row r="69" customFormat="false" ht="23.85" hidden="false" customHeight="false" outlineLevel="0" collapsed="false">
      <c r="A69" s="2" t="s">
        <v>436</v>
      </c>
      <c r="B69" s="2" t="n">
        <v>51</v>
      </c>
      <c r="C69" s="2" t="s">
        <v>86</v>
      </c>
      <c r="D69" s="2" t="s">
        <v>55</v>
      </c>
      <c r="E69" s="2" t="s">
        <v>56</v>
      </c>
      <c r="F69" s="2" t="s">
        <v>82</v>
      </c>
      <c r="G69" s="2" t="s">
        <v>87</v>
      </c>
      <c r="H69" s="2" t="s">
        <v>85</v>
      </c>
      <c r="I69" s="2" t="s">
        <v>84</v>
      </c>
      <c r="J69" s="2" t="s">
        <v>432</v>
      </c>
      <c r="K69" s="2" t="n">
        <v>9</v>
      </c>
      <c r="L69" s="4"/>
      <c r="M69" s="4"/>
      <c r="N69" s="4"/>
      <c r="O69" s="2" t="s">
        <v>437</v>
      </c>
      <c r="P69" s="4" t="n">
        <v>46233</v>
      </c>
      <c r="Q69" s="2" t="s">
        <v>433</v>
      </c>
      <c r="R69" s="4" t="n">
        <v>46217</v>
      </c>
      <c r="S69" s="2"/>
      <c r="T69" s="2" t="n">
        <v>9</v>
      </c>
    </row>
    <row r="70" customFormat="false" ht="23.85" hidden="false" customHeight="false" outlineLevel="0" collapsed="false">
      <c r="A70" s="2" t="s">
        <v>436</v>
      </c>
      <c r="B70" s="2" t="n">
        <v>56</v>
      </c>
      <c r="C70" s="2" t="s">
        <v>88</v>
      </c>
      <c r="D70" s="2" t="s">
        <v>55</v>
      </c>
      <c r="E70" s="2" t="s">
        <v>56</v>
      </c>
      <c r="F70" s="2" t="s">
        <v>82</v>
      </c>
      <c r="G70" s="2" t="s">
        <v>89</v>
      </c>
      <c r="H70" s="2" t="s">
        <v>85</v>
      </c>
      <c r="I70" s="2" t="s">
        <v>90</v>
      </c>
      <c r="J70" s="2" t="s">
        <v>432</v>
      </c>
      <c r="K70" s="2" t="n">
        <v>645</v>
      </c>
      <c r="L70" s="4"/>
      <c r="M70" s="4"/>
      <c r="N70" s="4"/>
      <c r="O70" s="2" t="s">
        <v>437</v>
      </c>
      <c r="P70" s="4" t="n">
        <v>46233</v>
      </c>
      <c r="Q70" s="2" t="s">
        <v>433</v>
      </c>
      <c r="R70" s="4" t="n">
        <v>46217</v>
      </c>
      <c r="S70" s="2"/>
      <c r="T70" s="2" t="n">
        <v>645</v>
      </c>
    </row>
    <row r="71" customFormat="false" ht="23.85" hidden="false" customHeight="false" outlineLevel="0" collapsed="false">
      <c r="A71" s="2" t="s">
        <v>436</v>
      </c>
      <c r="B71" s="2" t="n">
        <v>63</v>
      </c>
      <c r="C71" s="2" t="s">
        <v>91</v>
      </c>
      <c r="D71" s="2" t="s">
        <v>55</v>
      </c>
      <c r="E71" s="2" t="s">
        <v>56</v>
      </c>
      <c r="F71" s="2" t="s">
        <v>92</v>
      </c>
      <c r="G71" s="2" t="s">
        <v>93</v>
      </c>
      <c r="H71" s="2" t="s">
        <v>95</v>
      </c>
      <c r="I71" s="2" t="s">
        <v>94</v>
      </c>
      <c r="J71" s="2" t="s">
        <v>432</v>
      </c>
      <c r="K71" s="2" t="n">
        <v>241</v>
      </c>
      <c r="L71" s="4"/>
      <c r="M71" s="4"/>
      <c r="N71" s="4"/>
      <c r="O71" s="2" t="s">
        <v>437</v>
      </c>
      <c r="P71" s="4" t="n">
        <v>46233</v>
      </c>
      <c r="Q71" s="2" t="s">
        <v>433</v>
      </c>
      <c r="R71" s="4" t="n">
        <v>46217</v>
      </c>
      <c r="S71" s="2"/>
      <c r="T71" s="2" t="n">
        <v>241</v>
      </c>
    </row>
    <row r="72" customFormat="false" ht="23.85" hidden="false" customHeight="false" outlineLevel="0" collapsed="false">
      <c r="A72" s="2" t="s">
        <v>436</v>
      </c>
      <c r="B72" s="2" t="n">
        <v>71</v>
      </c>
      <c r="C72" s="2" t="s">
        <v>96</v>
      </c>
      <c r="D72" s="2" t="s">
        <v>55</v>
      </c>
      <c r="E72" s="2" t="s">
        <v>56</v>
      </c>
      <c r="F72" s="2" t="s">
        <v>92</v>
      </c>
      <c r="G72" s="2" t="s">
        <v>97</v>
      </c>
      <c r="H72" s="2" t="s">
        <v>95</v>
      </c>
      <c r="I72" s="2" t="s">
        <v>94</v>
      </c>
      <c r="J72" s="2" t="s">
        <v>432</v>
      </c>
      <c r="K72" s="2" t="n">
        <v>9</v>
      </c>
      <c r="L72" s="4"/>
      <c r="M72" s="4"/>
      <c r="N72" s="4"/>
      <c r="O72" s="2" t="s">
        <v>437</v>
      </c>
      <c r="P72" s="4" t="n">
        <v>46233</v>
      </c>
      <c r="Q72" s="2" t="s">
        <v>433</v>
      </c>
      <c r="R72" s="4" t="n">
        <v>46217</v>
      </c>
      <c r="S72" s="2"/>
      <c r="T72" s="2" t="n">
        <v>9</v>
      </c>
    </row>
    <row r="73" customFormat="false" ht="23.85" hidden="false" customHeight="false" outlineLevel="0" collapsed="false">
      <c r="A73" s="2" t="s">
        <v>436</v>
      </c>
      <c r="B73" s="2" t="n">
        <v>76</v>
      </c>
      <c r="C73" s="2" t="s">
        <v>98</v>
      </c>
      <c r="D73" s="2" t="s">
        <v>55</v>
      </c>
      <c r="E73" s="2" t="s">
        <v>56</v>
      </c>
      <c r="F73" s="2" t="s">
        <v>92</v>
      </c>
      <c r="G73" s="2" t="s">
        <v>99</v>
      </c>
      <c r="H73" s="2" t="s">
        <v>95</v>
      </c>
      <c r="I73" s="2" t="s">
        <v>100</v>
      </c>
      <c r="J73" s="2" t="s">
        <v>432</v>
      </c>
      <c r="K73" s="2" t="n">
        <v>165</v>
      </c>
      <c r="L73" s="4"/>
      <c r="M73" s="4"/>
      <c r="N73" s="4"/>
      <c r="O73" s="2" t="s">
        <v>437</v>
      </c>
      <c r="P73" s="4" t="n">
        <v>46233</v>
      </c>
      <c r="Q73" s="2" t="s">
        <v>433</v>
      </c>
      <c r="R73" s="4" t="n">
        <v>46217</v>
      </c>
      <c r="S73" s="2"/>
      <c r="T73" s="2" t="n">
        <v>165</v>
      </c>
    </row>
    <row r="74" customFormat="false" ht="23.85" hidden="false" customHeight="false" outlineLevel="0" collapsed="false">
      <c r="A74" s="2" t="s">
        <v>436</v>
      </c>
      <c r="B74" s="2" t="n">
        <v>81</v>
      </c>
      <c r="C74" s="2" t="s">
        <v>101</v>
      </c>
      <c r="D74" s="2" t="s">
        <v>55</v>
      </c>
      <c r="E74" s="2" t="s">
        <v>56</v>
      </c>
      <c r="F74" s="2" t="s">
        <v>73</v>
      </c>
      <c r="G74" s="2" t="s">
        <v>102</v>
      </c>
      <c r="H74" s="2" t="s">
        <v>75</v>
      </c>
      <c r="I74" s="2" t="s">
        <v>103</v>
      </c>
      <c r="J74" s="2" t="s">
        <v>432</v>
      </c>
      <c r="K74" s="2" t="n">
        <v>145</v>
      </c>
      <c r="L74" s="4"/>
      <c r="M74" s="4"/>
      <c r="N74" s="4"/>
      <c r="O74" s="2" t="s">
        <v>437</v>
      </c>
      <c r="P74" s="4" t="n">
        <v>46233</v>
      </c>
      <c r="Q74" s="2" t="s">
        <v>433</v>
      </c>
      <c r="R74" s="4" t="n">
        <v>46217</v>
      </c>
      <c r="S74" s="2"/>
      <c r="T74" s="2" t="n">
        <v>145</v>
      </c>
    </row>
    <row r="75" customFormat="false" ht="23.85" hidden="false" customHeight="false" outlineLevel="0" collapsed="false">
      <c r="A75" s="2" t="s">
        <v>436</v>
      </c>
      <c r="B75" s="2" t="n">
        <v>86</v>
      </c>
      <c r="C75" s="2" t="s">
        <v>104</v>
      </c>
      <c r="D75" s="2" t="s">
        <v>55</v>
      </c>
      <c r="E75" s="2" t="s">
        <v>56</v>
      </c>
      <c r="F75" s="2" t="s">
        <v>73</v>
      </c>
      <c r="G75" s="2" t="s">
        <v>105</v>
      </c>
      <c r="H75" s="2" t="s">
        <v>75</v>
      </c>
      <c r="I75" s="2" t="s">
        <v>103</v>
      </c>
      <c r="J75" s="2" t="s">
        <v>432</v>
      </c>
      <c r="K75" s="2" t="n">
        <v>325</v>
      </c>
      <c r="L75" s="4"/>
      <c r="M75" s="4"/>
      <c r="N75" s="4"/>
      <c r="O75" s="2" t="s">
        <v>437</v>
      </c>
      <c r="P75" s="4" t="n">
        <v>46233</v>
      </c>
      <c r="Q75" s="2" t="s">
        <v>433</v>
      </c>
      <c r="R75" s="4" t="n">
        <v>46217</v>
      </c>
      <c r="S75" s="2"/>
      <c r="T75" s="2" t="n">
        <v>325</v>
      </c>
    </row>
    <row r="76" customFormat="false" ht="23.85" hidden="false" customHeight="false" outlineLevel="0" collapsed="false">
      <c r="A76" s="2" t="s">
        <v>436</v>
      </c>
      <c r="B76" s="2" t="n">
        <v>91</v>
      </c>
      <c r="C76" s="2" t="s">
        <v>106</v>
      </c>
      <c r="D76" s="2" t="s">
        <v>55</v>
      </c>
      <c r="E76" s="2" t="s">
        <v>56</v>
      </c>
      <c r="F76" s="2" t="s">
        <v>73</v>
      </c>
      <c r="G76" s="2" t="s">
        <v>107</v>
      </c>
      <c r="H76" s="2" t="s">
        <v>75</v>
      </c>
      <c r="I76" s="2" t="s">
        <v>90</v>
      </c>
      <c r="J76" s="2" t="s">
        <v>432</v>
      </c>
      <c r="K76" s="2" t="n">
        <v>353</v>
      </c>
      <c r="L76" s="4"/>
      <c r="M76" s="4"/>
      <c r="N76" s="4"/>
      <c r="O76" s="2" t="s">
        <v>437</v>
      </c>
      <c r="P76" s="4" t="n">
        <v>46233</v>
      </c>
      <c r="Q76" s="2" t="s">
        <v>433</v>
      </c>
      <c r="R76" s="4" t="n">
        <v>46217</v>
      </c>
      <c r="S76" s="2"/>
      <c r="T76" s="2" t="n">
        <v>353</v>
      </c>
    </row>
    <row r="77" customFormat="false" ht="23.85" hidden="false" customHeight="false" outlineLevel="0" collapsed="false">
      <c r="A77" s="2" t="s">
        <v>436</v>
      </c>
      <c r="B77" s="2" t="n">
        <v>96</v>
      </c>
      <c r="C77" s="2" t="s">
        <v>108</v>
      </c>
      <c r="D77" s="2" t="s">
        <v>55</v>
      </c>
      <c r="E77" s="2" t="s">
        <v>56</v>
      </c>
      <c r="F77" s="2" t="s">
        <v>82</v>
      </c>
      <c r="G77" s="2" t="s">
        <v>109</v>
      </c>
      <c r="H77" s="2" t="s">
        <v>85</v>
      </c>
      <c r="I77" s="2" t="s">
        <v>94</v>
      </c>
      <c r="J77" s="2" t="s">
        <v>432</v>
      </c>
      <c r="K77" s="2" t="n">
        <v>124</v>
      </c>
      <c r="L77" s="4"/>
      <c r="M77" s="4"/>
      <c r="N77" s="4"/>
      <c r="O77" s="2" t="s">
        <v>437</v>
      </c>
      <c r="P77" s="4" t="n">
        <v>46233</v>
      </c>
      <c r="Q77" s="2" t="s">
        <v>433</v>
      </c>
      <c r="R77" s="4" t="n">
        <v>46217</v>
      </c>
      <c r="S77" s="2"/>
      <c r="T77" s="2" t="n">
        <v>124</v>
      </c>
    </row>
    <row r="78" customFormat="false" ht="23.85" hidden="false" customHeight="false" outlineLevel="0" collapsed="false">
      <c r="A78" s="2" t="s">
        <v>436</v>
      </c>
      <c r="B78" s="2" t="n">
        <v>101</v>
      </c>
      <c r="C78" s="2" t="s">
        <v>110</v>
      </c>
      <c r="D78" s="2" t="s">
        <v>55</v>
      </c>
      <c r="E78" s="2" t="s">
        <v>56</v>
      </c>
      <c r="F78" s="2" t="s">
        <v>57</v>
      </c>
      <c r="G78" s="2" t="s">
        <v>111</v>
      </c>
      <c r="H78" s="2" t="s">
        <v>61</v>
      </c>
      <c r="I78" s="2" t="s">
        <v>94</v>
      </c>
      <c r="J78" s="2" t="s">
        <v>432</v>
      </c>
      <c r="K78" s="2" t="n">
        <v>406</v>
      </c>
      <c r="L78" s="4"/>
      <c r="M78" s="4"/>
      <c r="N78" s="4"/>
      <c r="O78" s="2" t="s">
        <v>437</v>
      </c>
      <c r="P78" s="4" t="n">
        <v>46233</v>
      </c>
      <c r="Q78" s="2" t="s">
        <v>433</v>
      </c>
      <c r="R78" s="4" t="n">
        <v>46217</v>
      </c>
      <c r="S78" s="2"/>
      <c r="T78" s="2" t="n">
        <v>406</v>
      </c>
    </row>
    <row r="79" customFormat="false" ht="23.85" hidden="false" customHeight="false" outlineLevel="0" collapsed="false">
      <c r="A79" s="2" t="s">
        <v>436</v>
      </c>
      <c r="B79" s="2" t="n">
        <v>106</v>
      </c>
      <c r="C79" s="2" t="s">
        <v>112</v>
      </c>
      <c r="D79" s="2" t="s">
        <v>55</v>
      </c>
      <c r="E79" s="2" t="s">
        <v>56</v>
      </c>
      <c r="F79" s="2" t="s">
        <v>57</v>
      </c>
      <c r="G79" s="2" t="s">
        <v>113</v>
      </c>
      <c r="H79" s="2" t="s">
        <v>61</v>
      </c>
      <c r="I79" s="2" t="s">
        <v>103</v>
      </c>
      <c r="J79" s="2" t="s">
        <v>432</v>
      </c>
      <c r="K79" s="2" t="n">
        <v>455</v>
      </c>
      <c r="L79" s="4"/>
      <c r="M79" s="4"/>
      <c r="N79" s="4"/>
      <c r="O79" s="2" t="s">
        <v>437</v>
      </c>
      <c r="P79" s="4" t="n">
        <v>46233</v>
      </c>
      <c r="Q79" s="2" t="s">
        <v>433</v>
      </c>
      <c r="R79" s="4" t="n">
        <v>46217</v>
      </c>
      <c r="S79" s="2"/>
      <c r="T79" s="2" t="n">
        <v>455</v>
      </c>
    </row>
    <row r="80" customFormat="false" ht="23.85" hidden="false" customHeight="false" outlineLevel="0" collapsed="false">
      <c r="A80" s="2" t="s">
        <v>436</v>
      </c>
      <c r="B80" s="2" t="n">
        <v>111</v>
      </c>
      <c r="C80" s="2" t="s">
        <v>114</v>
      </c>
      <c r="D80" s="2" t="s">
        <v>55</v>
      </c>
      <c r="E80" s="2" t="s">
        <v>56</v>
      </c>
      <c r="F80" s="2" t="s">
        <v>92</v>
      </c>
      <c r="G80" s="2" t="s">
        <v>115</v>
      </c>
      <c r="H80" s="2" t="s">
        <v>95</v>
      </c>
      <c r="I80" s="2" t="s">
        <v>116</v>
      </c>
      <c r="J80" s="2" t="s">
        <v>432</v>
      </c>
      <c r="K80" s="2" t="n">
        <v>690</v>
      </c>
      <c r="L80" s="4"/>
      <c r="M80" s="4"/>
      <c r="N80" s="4"/>
      <c r="O80" s="2" t="s">
        <v>437</v>
      </c>
      <c r="P80" s="4" t="n">
        <v>46233</v>
      </c>
      <c r="Q80" s="2" t="s">
        <v>433</v>
      </c>
      <c r="R80" s="4" t="n">
        <v>46217</v>
      </c>
      <c r="S80" s="2"/>
      <c r="T80" s="2" t="n">
        <v>690</v>
      </c>
    </row>
    <row r="81" customFormat="false" ht="23.85" hidden="false" customHeight="false" outlineLevel="0" collapsed="false">
      <c r="A81" s="2" t="s">
        <v>436</v>
      </c>
      <c r="B81" s="2" t="n">
        <v>116</v>
      </c>
      <c r="C81" s="2" t="s">
        <v>117</v>
      </c>
      <c r="D81" s="2" t="s">
        <v>55</v>
      </c>
      <c r="E81" s="2" t="s">
        <v>56</v>
      </c>
      <c r="F81" s="2" t="s">
        <v>92</v>
      </c>
      <c r="G81" s="2" t="s">
        <v>118</v>
      </c>
      <c r="H81" s="2" t="s">
        <v>95</v>
      </c>
      <c r="I81" s="2" t="s">
        <v>116</v>
      </c>
      <c r="J81" s="2" t="s">
        <v>432</v>
      </c>
      <c r="K81" s="2" t="n">
        <v>1794</v>
      </c>
      <c r="L81" s="4"/>
      <c r="M81" s="4"/>
      <c r="N81" s="4"/>
      <c r="O81" s="2" t="s">
        <v>437</v>
      </c>
      <c r="P81" s="4" t="n">
        <v>46233</v>
      </c>
      <c r="Q81" s="2" t="s">
        <v>433</v>
      </c>
      <c r="R81" s="4" t="n">
        <v>46217</v>
      </c>
      <c r="S81" s="2"/>
      <c r="T81" s="2" t="n">
        <v>1794</v>
      </c>
    </row>
    <row r="82" customFormat="false" ht="23.85" hidden="false" customHeight="false" outlineLevel="0" collapsed="false">
      <c r="A82" s="2" t="s">
        <v>436</v>
      </c>
      <c r="B82" s="2" t="n">
        <v>121</v>
      </c>
      <c r="C82" s="2" t="s">
        <v>119</v>
      </c>
      <c r="D82" s="2" t="s">
        <v>55</v>
      </c>
      <c r="E82" s="2" t="s">
        <v>56</v>
      </c>
      <c r="F82" s="2" t="s">
        <v>92</v>
      </c>
      <c r="G82" s="2" t="s">
        <v>120</v>
      </c>
      <c r="H82" s="2" t="s">
        <v>95</v>
      </c>
      <c r="I82" s="2" t="s">
        <v>69</v>
      </c>
      <c r="J82" s="2" t="s">
        <v>432</v>
      </c>
      <c r="K82" s="2" t="n">
        <v>302</v>
      </c>
      <c r="L82" s="4"/>
      <c r="M82" s="4"/>
      <c r="N82" s="4"/>
      <c r="O82" s="2" t="s">
        <v>437</v>
      </c>
      <c r="P82" s="4" t="n">
        <v>46233</v>
      </c>
      <c r="Q82" s="2" t="s">
        <v>433</v>
      </c>
      <c r="R82" s="4" t="n">
        <v>46217</v>
      </c>
      <c r="S82" s="2"/>
      <c r="T82" s="2" t="n">
        <v>302</v>
      </c>
    </row>
    <row r="83" customFormat="false" ht="23.85" hidden="false" customHeight="false" outlineLevel="0" collapsed="false">
      <c r="A83" s="2" t="s">
        <v>436</v>
      </c>
      <c r="B83" s="2" t="n">
        <v>126</v>
      </c>
      <c r="C83" s="2" t="s">
        <v>121</v>
      </c>
      <c r="D83" s="2" t="s">
        <v>55</v>
      </c>
      <c r="E83" s="2" t="s">
        <v>56</v>
      </c>
      <c r="F83" s="2" t="s">
        <v>73</v>
      </c>
      <c r="G83" s="2" t="s">
        <v>122</v>
      </c>
      <c r="H83" s="2" t="s">
        <v>75</v>
      </c>
      <c r="I83" s="2" t="s">
        <v>123</v>
      </c>
      <c r="J83" s="2" t="s">
        <v>432</v>
      </c>
      <c r="K83" s="2" t="n">
        <v>300</v>
      </c>
      <c r="L83" s="4"/>
      <c r="M83" s="4"/>
      <c r="N83" s="4"/>
      <c r="O83" s="2" t="s">
        <v>437</v>
      </c>
      <c r="P83" s="4" t="n">
        <v>46233</v>
      </c>
      <c r="Q83" s="2" t="s">
        <v>433</v>
      </c>
      <c r="R83" s="4" t="n">
        <v>46217</v>
      </c>
      <c r="S83" s="2"/>
      <c r="T83" s="2" t="n">
        <v>300</v>
      </c>
    </row>
    <row r="84" customFormat="false" ht="23.85" hidden="false" customHeight="false" outlineLevel="0" collapsed="false">
      <c r="A84" s="2" t="s">
        <v>436</v>
      </c>
      <c r="B84" s="2" t="n">
        <v>131</v>
      </c>
      <c r="C84" s="2" t="s">
        <v>124</v>
      </c>
      <c r="D84" s="2" t="s">
        <v>55</v>
      </c>
      <c r="E84" s="2" t="s">
        <v>56</v>
      </c>
      <c r="F84" s="2" t="s">
        <v>57</v>
      </c>
      <c r="G84" s="2" t="s">
        <v>125</v>
      </c>
      <c r="H84" s="2" t="s">
        <v>61</v>
      </c>
      <c r="I84" s="2" t="s">
        <v>126</v>
      </c>
      <c r="J84" s="2" t="s">
        <v>432</v>
      </c>
      <c r="K84" s="2" t="n">
        <v>107</v>
      </c>
      <c r="L84" s="4"/>
      <c r="M84" s="4"/>
      <c r="N84" s="4"/>
      <c r="O84" s="2" t="s">
        <v>437</v>
      </c>
      <c r="P84" s="4" t="n">
        <v>46233</v>
      </c>
      <c r="Q84" s="2" t="s">
        <v>433</v>
      </c>
      <c r="R84" s="4" t="n">
        <v>46217</v>
      </c>
      <c r="S84" s="2"/>
      <c r="T84" s="2" t="n">
        <v>107</v>
      </c>
    </row>
    <row r="85" customFormat="false" ht="23.85" hidden="false" customHeight="false" outlineLevel="0" collapsed="false">
      <c r="A85" s="2" t="s">
        <v>436</v>
      </c>
      <c r="B85" s="2" t="n">
        <v>136</v>
      </c>
      <c r="C85" s="2" t="s">
        <v>127</v>
      </c>
      <c r="D85" s="2" t="s">
        <v>55</v>
      </c>
      <c r="E85" s="2" t="s">
        <v>56</v>
      </c>
      <c r="F85" s="2" t="s">
        <v>128</v>
      </c>
      <c r="G85" s="2" t="s">
        <v>129</v>
      </c>
      <c r="H85" s="2" t="s">
        <v>131</v>
      </c>
      <c r="I85" s="2" t="s">
        <v>130</v>
      </c>
      <c r="J85" s="2" t="s">
        <v>432</v>
      </c>
      <c r="K85" s="2" t="n">
        <v>106</v>
      </c>
      <c r="L85" s="4"/>
      <c r="M85" s="4"/>
      <c r="N85" s="4"/>
      <c r="O85" s="2" t="s">
        <v>437</v>
      </c>
      <c r="P85" s="4" t="n">
        <v>46233</v>
      </c>
      <c r="Q85" s="2" t="s">
        <v>433</v>
      </c>
      <c r="R85" s="4" t="n">
        <v>46217</v>
      </c>
      <c r="S85" s="2"/>
      <c r="T85" s="2" t="n">
        <v>106</v>
      </c>
    </row>
    <row r="86" customFormat="false" ht="23.85" hidden="false" customHeight="false" outlineLevel="0" collapsed="false">
      <c r="A86" s="2" t="s">
        <v>436</v>
      </c>
      <c r="B86" s="2" t="n">
        <v>141</v>
      </c>
      <c r="C86" s="2" t="s">
        <v>132</v>
      </c>
      <c r="D86" s="2" t="s">
        <v>55</v>
      </c>
      <c r="E86" s="2" t="s">
        <v>56</v>
      </c>
      <c r="F86" s="2" t="s">
        <v>128</v>
      </c>
      <c r="G86" s="2" t="s">
        <v>133</v>
      </c>
      <c r="H86" s="2" t="s">
        <v>131</v>
      </c>
      <c r="I86" s="2" t="s">
        <v>130</v>
      </c>
      <c r="J86" s="2" t="s">
        <v>432</v>
      </c>
      <c r="K86" s="2" t="n">
        <v>9</v>
      </c>
      <c r="L86" s="4"/>
      <c r="M86" s="4"/>
      <c r="N86" s="4"/>
      <c r="O86" s="2" t="s">
        <v>437</v>
      </c>
      <c r="P86" s="4" t="n">
        <v>46233</v>
      </c>
      <c r="Q86" s="2" t="s">
        <v>433</v>
      </c>
      <c r="R86" s="4" t="n">
        <v>46217</v>
      </c>
      <c r="S86" s="2"/>
      <c r="T86" s="2" t="n">
        <v>9</v>
      </c>
    </row>
    <row r="87" customFormat="false" ht="23.85" hidden="false" customHeight="false" outlineLevel="0" collapsed="false">
      <c r="A87" s="2" t="s">
        <v>436</v>
      </c>
      <c r="B87" s="2" t="n">
        <v>146</v>
      </c>
      <c r="C87" s="2" t="s">
        <v>134</v>
      </c>
      <c r="D87" s="2" t="s">
        <v>55</v>
      </c>
      <c r="E87" s="2" t="s">
        <v>56</v>
      </c>
      <c r="F87" s="2" t="s">
        <v>57</v>
      </c>
      <c r="G87" s="2" t="s">
        <v>135</v>
      </c>
      <c r="H87" s="2" t="s">
        <v>61</v>
      </c>
      <c r="I87" s="2" t="s">
        <v>90</v>
      </c>
      <c r="J87" s="2" t="s">
        <v>432</v>
      </c>
      <c r="K87" s="2" t="n">
        <v>301</v>
      </c>
      <c r="L87" s="4"/>
      <c r="M87" s="4"/>
      <c r="N87" s="4"/>
      <c r="O87" s="2" t="s">
        <v>437</v>
      </c>
      <c r="P87" s="4" t="n">
        <v>46233</v>
      </c>
      <c r="Q87" s="2" t="s">
        <v>433</v>
      </c>
      <c r="R87" s="4" t="n">
        <v>46217</v>
      </c>
      <c r="S87" s="2"/>
      <c r="T87" s="2" t="n">
        <v>301</v>
      </c>
    </row>
    <row r="88" customFormat="false" ht="23.85" hidden="false" customHeight="false" outlineLevel="0" collapsed="false">
      <c r="A88" s="2" t="s">
        <v>436</v>
      </c>
      <c r="B88" s="2" t="n">
        <v>151</v>
      </c>
      <c r="C88" s="2" t="s">
        <v>136</v>
      </c>
      <c r="D88" s="2" t="s">
        <v>55</v>
      </c>
      <c r="E88" s="2" t="s">
        <v>56</v>
      </c>
      <c r="F88" s="2" t="s">
        <v>57</v>
      </c>
      <c r="G88" s="2" t="s">
        <v>137</v>
      </c>
      <c r="H88" s="2" t="s">
        <v>61</v>
      </c>
      <c r="I88" s="2" t="s">
        <v>103</v>
      </c>
      <c r="J88" s="2" t="s">
        <v>432</v>
      </c>
      <c r="K88" s="2" t="n">
        <v>350</v>
      </c>
      <c r="L88" s="4"/>
      <c r="M88" s="4"/>
      <c r="N88" s="4"/>
      <c r="O88" s="2" t="s">
        <v>437</v>
      </c>
      <c r="P88" s="4" t="n">
        <v>46233</v>
      </c>
      <c r="Q88" s="2" t="s">
        <v>433</v>
      </c>
      <c r="R88" s="4" t="n">
        <v>46217</v>
      </c>
      <c r="S88" s="2"/>
      <c r="T88" s="2" t="n">
        <v>350</v>
      </c>
    </row>
    <row r="89" customFormat="false" ht="23.85" hidden="false" customHeight="false" outlineLevel="0" collapsed="false">
      <c r="A89" s="2" t="s">
        <v>436</v>
      </c>
      <c r="B89" s="2" t="n">
        <v>156</v>
      </c>
      <c r="C89" s="2" t="s">
        <v>138</v>
      </c>
      <c r="D89" s="2" t="s">
        <v>55</v>
      </c>
      <c r="E89" s="2" t="s">
        <v>56</v>
      </c>
      <c r="F89" s="2" t="s">
        <v>57</v>
      </c>
      <c r="G89" s="2" t="s">
        <v>139</v>
      </c>
      <c r="H89" s="2" t="s">
        <v>61</v>
      </c>
      <c r="I89" s="2" t="s">
        <v>90</v>
      </c>
      <c r="J89" s="2" t="s">
        <v>432</v>
      </c>
      <c r="K89" s="2" t="n">
        <v>362</v>
      </c>
      <c r="L89" s="4"/>
      <c r="M89" s="4"/>
      <c r="N89" s="4"/>
      <c r="O89" s="2" t="s">
        <v>437</v>
      </c>
      <c r="P89" s="4" t="n">
        <v>46233</v>
      </c>
      <c r="Q89" s="2" t="s">
        <v>433</v>
      </c>
      <c r="R89" s="4" t="n">
        <v>46217</v>
      </c>
      <c r="S89" s="2"/>
      <c r="T89" s="2" t="n">
        <v>362</v>
      </c>
    </row>
    <row r="90" customFormat="false" ht="23.85" hidden="false" customHeight="false" outlineLevel="0" collapsed="false">
      <c r="A90" s="2" t="s">
        <v>436</v>
      </c>
      <c r="B90" s="2" t="n">
        <v>161</v>
      </c>
      <c r="C90" s="2" t="s">
        <v>140</v>
      </c>
      <c r="D90" s="2" t="s">
        <v>55</v>
      </c>
      <c r="E90" s="2" t="s">
        <v>56</v>
      </c>
      <c r="F90" s="2" t="s">
        <v>128</v>
      </c>
      <c r="G90" s="2" t="s">
        <v>141</v>
      </c>
      <c r="H90" s="2" t="s">
        <v>131</v>
      </c>
      <c r="I90" s="2" t="s">
        <v>90</v>
      </c>
      <c r="J90" s="2" t="s">
        <v>432</v>
      </c>
      <c r="K90" s="2" t="n">
        <v>607</v>
      </c>
      <c r="L90" s="4"/>
      <c r="M90" s="4"/>
      <c r="N90" s="4"/>
      <c r="O90" s="2" t="s">
        <v>437</v>
      </c>
      <c r="P90" s="4" t="n">
        <v>46233</v>
      </c>
      <c r="Q90" s="2" t="s">
        <v>433</v>
      </c>
      <c r="R90" s="4" t="n">
        <v>46217</v>
      </c>
      <c r="S90" s="2"/>
      <c r="T90" s="2" t="n">
        <v>607</v>
      </c>
    </row>
    <row r="91" customFormat="false" ht="23.85" hidden="false" customHeight="false" outlineLevel="0" collapsed="false">
      <c r="A91" s="2" t="s">
        <v>436</v>
      </c>
      <c r="B91" s="2" t="n">
        <v>166</v>
      </c>
      <c r="C91" s="2" t="s">
        <v>142</v>
      </c>
      <c r="D91" s="2" t="s">
        <v>55</v>
      </c>
      <c r="E91" s="2" t="s">
        <v>56</v>
      </c>
      <c r="F91" s="2" t="s">
        <v>82</v>
      </c>
      <c r="G91" s="2" t="s">
        <v>143</v>
      </c>
      <c r="H91" s="2" t="s">
        <v>85</v>
      </c>
      <c r="I91" s="2" t="s">
        <v>130</v>
      </c>
      <c r="J91" s="2" t="s">
        <v>432</v>
      </c>
      <c r="K91" s="2" t="n">
        <v>435</v>
      </c>
      <c r="L91" s="4"/>
      <c r="M91" s="4"/>
      <c r="N91" s="4"/>
      <c r="O91" s="2" t="s">
        <v>437</v>
      </c>
      <c r="P91" s="4" t="n">
        <v>46233</v>
      </c>
      <c r="Q91" s="2" t="s">
        <v>433</v>
      </c>
      <c r="R91" s="4" t="n">
        <v>46217</v>
      </c>
      <c r="S91" s="2"/>
      <c r="T91" s="2" t="n">
        <v>435</v>
      </c>
    </row>
    <row r="92" customFormat="false" ht="23.85" hidden="false" customHeight="false" outlineLevel="0" collapsed="false">
      <c r="A92" s="2" t="s">
        <v>436</v>
      </c>
      <c r="B92" s="2" t="n">
        <v>171</v>
      </c>
      <c r="C92" s="2" t="s">
        <v>144</v>
      </c>
      <c r="D92" s="2" t="s">
        <v>55</v>
      </c>
      <c r="E92" s="2" t="s">
        <v>56</v>
      </c>
      <c r="F92" s="2" t="s">
        <v>82</v>
      </c>
      <c r="G92" s="2" t="s">
        <v>145</v>
      </c>
      <c r="H92" s="2" t="s">
        <v>85</v>
      </c>
      <c r="I92" s="2" t="s">
        <v>90</v>
      </c>
      <c r="J92" s="2" t="s">
        <v>432</v>
      </c>
      <c r="K92" s="2" t="n">
        <v>1100</v>
      </c>
      <c r="L92" s="4"/>
      <c r="M92" s="4"/>
      <c r="N92" s="4"/>
      <c r="O92" s="2" t="s">
        <v>437</v>
      </c>
      <c r="P92" s="4" t="n">
        <v>46233</v>
      </c>
      <c r="Q92" s="2" t="s">
        <v>433</v>
      </c>
      <c r="R92" s="4" t="n">
        <v>46217</v>
      </c>
      <c r="S92" s="2"/>
      <c r="T92" s="2" t="n">
        <v>1100</v>
      </c>
    </row>
    <row r="93" customFormat="false" ht="23.85" hidden="false" customHeight="false" outlineLevel="0" collapsed="false">
      <c r="A93" s="2" t="s">
        <v>436</v>
      </c>
      <c r="B93" s="2" t="n">
        <v>176</v>
      </c>
      <c r="C93" s="2" t="s">
        <v>146</v>
      </c>
      <c r="D93" s="2" t="s">
        <v>55</v>
      </c>
      <c r="E93" s="2" t="s">
        <v>56</v>
      </c>
      <c r="F93" s="2" t="s">
        <v>73</v>
      </c>
      <c r="G93" s="2" t="s">
        <v>147</v>
      </c>
      <c r="H93" s="2" t="s">
        <v>75</v>
      </c>
      <c r="I93" s="2" t="s">
        <v>130</v>
      </c>
      <c r="J93" s="2" t="s">
        <v>432</v>
      </c>
      <c r="K93" s="2" t="n">
        <v>365</v>
      </c>
      <c r="L93" s="4"/>
      <c r="M93" s="4"/>
      <c r="N93" s="4"/>
      <c r="O93" s="2" t="s">
        <v>437</v>
      </c>
      <c r="P93" s="4" t="n">
        <v>46233</v>
      </c>
      <c r="Q93" s="2" t="s">
        <v>433</v>
      </c>
      <c r="R93" s="4" t="n">
        <v>46217</v>
      </c>
      <c r="S93" s="2"/>
      <c r="T93" s="2" t="n">
        <v>365</v>
      </c>
    </row>
    <row r="94" customFormat="false" ht="23.85" hidden="false" customHeight="false" outlineLevel="0" collapsed="false">
      <c r="A94" s="2" t="s">
        <v>436</v>
      </c>
      <c r="B94" s="2" t="n">
        <v>181</v>
      </c>
      <c r="C94" s="2" t="s">
        <v>148</v>
      </c>
      <c r="D94" s="2" t="s">
        <v>55</v>
      </c>
      <c r="E94" s="2" t="s">
        <v>56</v>
      </c>
      <c r="F94" s="2" t="s">
        <v>73</v>
      </c>
      <c r="G94" s="2" t="s">
        <v>149</v>
      </c>
      <c r="H94" s="2" t="s">
        <v>75</v>
      </c>
      <c r="I94" s="2" t="s">
        <v>103</v>
      </c>
      <c r="J94" s="2" t="s">
        <v>432</v>
      </c>
      <c r="K94" s="2" t="n">
        <v>370</v>
      </c>
      <c r="L94" s="4"/>
      <c r="M94" s="4"/>
      <c r="N94" s="4"/>
      <c r="O94" s="2" t="s">
        <v>437</v>
      </c>
      <c r="P94" s="4" t="n">
        <v>46233</v>
      </c>
      <c r="Q94" s="2" t="s">
        <v>433</v>
      </c>
      <c r="R94" s="4" t="n">
        <v>46217</v>
      </c>
      <c r="S94" s="2"/>
      <c r="T94" s="2" t="n">
        <v>370</v>
      </c>
    </row>
    <row r="95" customFormat="false" ht="23.85" hidden="false" customHeight="false" outlineLevel="0" collapsed="false">
      <c r="A95" s="2" t="s">
        <v>436</v>
      </c>
      <c r="B95" s="2" t="n">
        <v>186</v>
      </c>
      <c r="C95" s="2" t="s">
        <v>150</v>
      </c>
      <c r="D95" s="2" t="s">
        <v>55</v>
      </c>
      <c r="E95" s="2" t="s">
        <v>56</v>
      </c>
      <c r="F95" s="2" t="s">
        <v>73</v>
      </c>
      <c r="G95" s="2" t="s">
        <v>151</v>
      </c>
      <c r="H95" s="2" t="s">
        <v>75</v>
      </c>
      <c r="I95" s="2" t="s">
        <v>90</v>
      </c>
      <c r="J95" s="2" t="s">
        <v>432</v>
      </c>
      <c r="K95" s="2" t="n">
        <v>618</v>
      </c>
      <c r="L95" s="4"/>
      <c r="M95" s="4"/>
      <c r="N95" s="4"/>
      <c r="O95" s="2" t="s">
        <v>437</v>
      </c>
      <c r="P95" s="4" t="n">
        <v>46233</v>
      </c>
      <c r="Q95" s="2" t="s">
        <v>433</v>
      </c>
      <c r="R95" s="4" t="n">
        <v>46217</v>
      </c>
      <c r="S95" s="2"/>
      <c r="T95" s="2" t="n">
        <v>618</v>
      </c>
    </row>
    <row r="96" customFormat="false" ht="23.85" hidden="false" customHeight="false" outlineLevel="0" collapsed="false">
      <c r="A96" s="2" t="s">
        <v>436</v>
      </c>
      <c r="B96" s="2" t="n">
        <v>191</v>
      </c>
      <c r="C96" s="2" t="s">
        <v>152</v>
      </c>
      <c r="D96" s="2" t="s">
        <v>153</v>
      </c>
      <c r="E96" s="2" t="s">
        <v>56</v>
      </c>
      <c r="F96" s="2" t="s">
        <v>154</v>
      </c>
      <c r="G96" s="2" t="s">
        <v>155</v>
      </c>
      <c r="H96" s="2" t="s">
        <v>157</v>
      </c>
      <c r="I96" s="2" t="s">
        <v>156</v>
      </c>
      <c r="J96" s="2" t="s">
        <v>432</v>
      </c>
      <c r="K96" s="2" t="n">
        <v>351</v>
      </c>
      <c r="L96" s="4"/>
      <c r="M96" s="4"/>
      <c r="N96" s="4"/>
      <c r="O96" s="2" t="s">
        <v>437</v>
      </c>
      <c r="P96" s="4" t="n">
        <v>46233</v>
      </c>
      <c r="Q96" s="2" t="s">
        <v>433</v>
      </c>
      <c r="R96" s="4" t="n">
        <v>46217</v>
      </c>
      <c r="S96" s="2"/>
      <c r="T96" s="2" t="n">
        <v>351</v>
      </c>
    </row>
    <row r="97" customFormat="false" ht="23.85" hidden="false" customHeight="false" outlineLevel="0" collapsed="false">
      <c r="A97" s="2" t="s">
        <v>436</v>
      </c>
      <c r="B97" s="2" t="n">
        <v>196</v>
      </c>
      <c r="C97" s="2" t="s">
        <v>158</v>
      </c>
      <c r="D97" s="2" t="s">
        <v>153</v>
      </c>
      <c r="E97" s="2" t="s">
        <v>56</v>
      </c>
      <c r="F97" s="2" t="s">
        <v>154</v>
      </c>
      <c r="G97" s="2" t="s">
        <v>159</v>
      </c>
      <c r="H97" s="2" t="s">
        <v>157</v>
      </c>
      <c r="I97" s="2" t="s">
        <v>160</v>
      </c>
      <c r="J97" s="2" t="s">
        <v>432</v>
      </c>
      <c r="K97" s="2" t="n">
        <v>525</v>
      </c>
      <c r="L97" s="4"/>
      <c r="M97" s="4"/>
      <c r="N97" s="4"/>
      <c r="O97" s="2" t="s">
        <v>437</v>
      </c>
      <c r="P97" s="4" t="n">
        <v>46233</v>
      </c>
      <c r="Q97" s="2" t="s">
        <v>433</v>
      </c>
      <c r="R97" s="4" t="n">
        <v>46217</v>
      </c>
      <c r="S97" s="2"/>
      <c r="T97" s="2" t="n">
        <v>525</v>
      </c>
    </row>
    <row r="98" customFormat="false" ht="23.85" hidden="false" customHeight="false" outlineLevel="0" collapsed="false">
      <c r="A98" s="2" t="s">
        <v>436</v>
      </c>
      <c r="B98" s="2" t="n">
        <v>201</v>
      </c>
      <c r="C98" s="2" t="s">
        <v>161</v>
      </c>
      <c r="D98" s="2" t="s">
        <v>153</v>
      </c>
      <c r="E98" s="2" t="s">
        <v>56</v>
      </c>
      <c r="F98" s="2" t="s">
        <v>154</v>
      </c>
      <c r="G98" s="2" t="s">
        <v>162</v>
      </c>
      <c r="H98" s="2" t="s">
        <v>157</v>
      </c>
      <c r="I98" s="2" t="s">
        <v>84</v>
      </c>
      <c r="J98" s="2" t="s">
        <v>432</v>
      </c>
      <c r="K98" s="2" t="n">
        <v>852</v>
      </c>
      <c r="L98" s="4"/>
      <c r="M98" s="4"/>
      <c r="N98" s="4"/>
      <c r="O98" s="2" t="s">
        <v>437</v>
      </c>
      <c r="P98" s="4" t="n">
        <v>46233</v>
      </c>
      <c r="Q98" s="2" t="s">
        <v>433</v>
      </c>
      <c r="R98" s="4" t="n">
        <v>46217</v>
      </c>
      <c r="S98" s="2"/>
      <c r="T98" s="2" t="n">
        <v>852</v>
      </c>
    </row>
    <row r="99" customFormat="false" ht="23.85" hidden="false" customHeight="false" outlineLevel="0" collapsed="false">
      <c r="A99" s="2" t="s">
        <v>436</v>
      </c>
      <c r="B99" s="2" t="n">
        <v>206</v>
      </c>
      <c r="C99" s="2" t="s">
        <v>163</v>
      </c>
      <c r="D99" s="2" t="s">
        <v>153</v>
      </c>
      <c r="E99" s="2" t="s">
        <v>56</v>
      </c>
      <c r="F99" s="2" t="s">
        <v>164</v>
      </c>
      <c r="G99" s="2" t="s">
        <v>165</v>
      </c>
      <c r="H99" s="2" t="s">
        <v>166</v>
      </c>
      <c r="I99" s="2" t="s">
        <v>69</v>
      </c>
      <c r="J99" s="2" t="s">
        <v>432</v>
      </c>
      <c r="K99" s="2" t="n">
        <v>650</v>
      </c>
      <c r="L99" s="4"/>
      <c r="M99" s="4"/>
      <c r="N99" s="4"/>
      <c r="O99" s="2" t="s">
        <v>437</v>
      </c>
      <c r="P99" s="4" t="n">
        <v>46233</v>
      </c>
      <c r="Q99" s="2" t="s">
        <v>433</v>
      </c>
      <c r="R99" s="4" t="n">
        <v>46217</v>
      </c>
      <c r="S99" s="2"/>
      <c r="T99" s="2" t="n">
        <v>650</v>
      </c>
    </row>
    <row r="100" customFormat="false" ht="23.85" hidden="false" customHeight="false" outlineLevel="0" collapsed="false">
      <c r="A100" s="2" t="s">
        <v>436</v>
      </c>
      <c r="B100" s="2" t="n">
        <v>211</v>
      </c>
      <c r="C100" s="2" t="s">
        <v>167</v>
      </c>
      <c r="D100" s="2" t="s">
        <v>153</v>
      </c>
      <c r="E100" s="2" t="s">
        <v>56</v>
      </c>
      <c r="F100" s="2" t="s">
        <v>164</v>
      </c>
      <c r="G100" s="2" t="s">
        <v>168</v>
      </c>
      <c r="H100" s="2" t="s">
        <v>166</v>
      </c>
      <c r="I100" s="2" t="s">
        <v>69</v>
      </c>
      <c r="J100" s="2" t="s">
        <v>432</v>
      </c>
      <c r="K100" s="2" t="n">
        <v>650</v>
      </c>
      <c r="L100" s="4"/>
      <c r="M100" s="4"/>
      <c r="N100" s="4"/>
      <c r="O100" s="2" t="s">
        <v>437</v>
      </c>
      <c r="P100" s="4" t="n">
        <v>46233</v>
      </c>
      <c r="Q100" s="2" t="s">
        <v>433</v>
      </c>
      <c r="R100" s="4" t="n">
        <v>46217</v>
      </c>
      <c r="S100" s="2"/>
      <c r="T100" s="2" t="n">
        <v>650</v>
      </c>
    </row>
    <row r="101" customFormat="false" ht="23.85" hidden="false" customHeight="false" outlineLevel="0" collapsed="false">
      <c r="A101" s="2" t="s">
        <v>436</v>
      </c>
      <c r="B101" s="2" t="n">
        <v>216</v>
      </c>
      <c r="C101" s="2" t="s">
        <v>169</v>
      </c>
      <c r="D101" s="2" t="s">
        <v>153</v>
      </c>
      <c r="E101" s="2" t="s">
        <v>56</v>
      </c>
      <c r="F101" s="2" t="s">
        <v>164</v>
      </c>
      <c r="G101" s="2" t="s">
        <v>170</v>
      </c>
      <c r="H101" s="2" t="s">
        <v>166</v>
      </c>
      <c r="I101" s="2" t="s">
        <v>84</v>
      </c>
      <c r="J101" s="2" t="s">
        <v>432</v>
      </c>
      <c r="K101" s="2" t="n">
        <v>300</v>
      </c>
      <c r="L101" s="4"/>
      <c r="M101" s="4"/>
      <c r="N101" s="4"/>
      <c r="O101" s="2" t="s">
        <v>437</v>
      </c>
      <c r="P101" s="4" t="n">
        <v>46233</v>
      </c>
      <c r="Q101" s="2" t="s">
        <v>433</v>
      </c>
      <c r="R101" s="4" t="n">
        <v>46217</v>
      </c>
      <c r="S101" s="2"/>
      <c r="T101" s="2" t="n">
        <v>300</v>
      </c>
    </row>
    <row r="102" customFormat="false" ht="23.85" hidden="false" customHeight="false" outlineLevel="0" collapsed="false">
      <c r="A102" s="2" t="s">
        <v>436</v>
      </c>
      <c r="B102" s="2" t="n">
        <v>221</v>
      </c>
      <c r="C102" s="2" t="s">
        <v>171</v>
      </c>
      <c r="D102" s="2" t="s">
        <v>153</v>
      </c>
      <c r="E102" s="2" t="s">
        <v>56</v>
      </c>
      <c r="F102" s="2" t="s">
        <v>172</v>
      </c>
      <c r="G102" s="2" t="s">
        <v>173</v>
      </c>
      <c r="H102" s="2" t="s">
        <v>175</v>
      </c>
      <c r="I102" s="2" t="s">
        <v>174</v>
      </c>
      <c r="J102" s="2" t="s">
        <v>432</v>
      </c>
      <c r="K102" s="2" t="n">
        <v>300</v>
      </c>
      <c r="L102" s="4"/>
      <c r="M102" s="4"/>
      <c r="N102" s="4"/>
      <c r="O102" s="2" t="s">
        <v>437</v>
      </c>
      <c r="P102" s="4" t="n">
        <v>46233</v>
      </c>
      <c r="Q102" s="2" t="s">
        <v>433</v>
      </c>
      <c r="R102" s="4" t="n">
        <v>46217</v>
      </c>
      <c r="S102" s="2"/>
      <c r="T102" s="2" t="n">
        <v>300</v>
      </c>
    </row>
    <row r="103" customFormat="false" ht="23.85" hidden="false" customHeight="false" outlineLevel="0" collapsed="false">
      <c r="A103" s="2" t="s">
        <v>436</v>
      </c>
      <c r="B103" s="2" t="n">
        <v>226</v>
      </c>
      <c r="C103" s="2" t="s">
        <v>176</v>
      </c>
      <c r="D103" s="2" t="s">
        <v>153</v>
      </c>
      <c r="E103" s="2" t="s">
        <v>56</v>
      </c>
      <c r="F103" s="2" t="s">
        <v>172</v>
      </c>
      <c r="G103" s="2" t="s">
        <v>177</v>
      </c>
      <c r="H103" s="2" t="s">
        <v>175</v>
      </c>
      <c r="I103" s="2" t="s">
        <v>178</v>
      </c>
      <c r="J103" s="2" t="s">
        <v>432</v>
      </c>
      <c r="K103" s="2" t="n">
        <v>360</v>
      </c>
      <c r="L103" s="4"/>
      <c r="M103" s="4"/>
      <c r="N103" s="4"/>
      <c r="O103" s="2" t="s">
        <v>437</v>
      </c>
      <c r="P103" s="4" t="n">
        <v>46233</v>
      </c>
      <c r="Q103" s="2" t="s">
        <v>433</v>
      </c>
      <c r="R103" s="4" t="n">
        <v>46217</v>
      </c>
      <c r="S103" s="2"/>
      <c r="T103" s="2" t="n">
        <v>360</v>
      </c>
    </row>
    <row r="104" customFormat="false" ht="23.85" hidden="false" customHeight="false" outlineLevel="0" collapsed="false">
      <c r="A104" s="2" t="s">
        <v>436</v>
      </c>
      <c r="B104" s="2" t="n">
        <v>233</v>
      </c>
      <c r="C104" s="2" t="s">
        <v>179</v>
      </c>
      <c r="D104" s="2" t="s">
        <v>153</v>
      </c>
      <c r="E104" s="2" t="s">
        <v>56</v>
      </c>
      <c r="F104" s="2" t="s">
        <v>172</v>
      </c>
      <c r="G104" s="2" t="s">
        <v>180</v>
      </c>
      <c r="H104" s="2" t="s">
        <v>175</v>
      </c>
      <c r="I104" s="2" t="s">
        <v>160</v>
      </c>
      <c r="J104" s="2" t="s">
        <v>432</v>
      </c>
      <c r="K104" s="2" t="n">
        <v>530</v>
      </c>
      <c r="L104" s="4"/>
      <c r="M104" s="4"/>
      <c r="N104" s="4"/>
      <c r="O104" s="2" t="s">
        <v>437</v>
      </c>
      <c r="P104" s="4" t="n">
        <v>46233</v>
      </c>
      <c r="Q104" s="2" t="s">
        <v>433</v>
      </c>
      <c r="R104" s="4" t="n">
        <v>46217</v>
      </c>
      <c r="S104" s="2"/>
      <c r="T104" s="2" t="n">
        <v>530</v>
      </c>
    </row>
    <row r="105" customFormat="false" ht="23.85" hidden="false" customHeight="false" outlineLevel="0" collapsed="false">
      <c r="A105" s="2" t="s">
        <v>436</v>
      </c>
      <c r="B105" s="2" t="n">
        <v>238</v>
      </c>
      <c r="C105" s="2" t="s">
        <v>181</v>
      </c>
      <c r="D105" s="2" t="s">
        <v>153</v>
      </c>
      <c r="E105" s="2" t="s">
        <v>56</v>
      </c>
      <c r="F105" s="2" t="s">
        <v>172</v>
      </c>
      <c r="G105" s="2" t="s">
        <v>182</v>
      </c>
      <c r="H105" s="2" t="s">
        <v>175</v>
      </c>
      <c r="I105" s="2" t="s">
        <v>84</v>
      </c>
      <c r="J105" s="2" t="s">
        <v>432</v>
      </c>
      <c r="K105" s="2" t="n">
        <v>564</v>
      </c>
      <c r="L105" s="4"/>
      <c r="M105" s="4"/>
      <c r="N105" s="4"/>
      <c r="O105" s="2" t="s">
        <v>437</v>
      </c>
      <c r="P105" s="4" t="n">
        <v>46233</v>
      </c>
      <c r="Q105" s="2" t="s">
        <v>433</v>
      </c>
      <c r="R105" s="4" t="n">
        <v>46217</v>
      </c>
      <c r="S105" s="2"/>
      <c r="T105" s="2" t="n">
        <v>564</v>
      </c>
    </row>
    <row r="106" customFormat="false" ht="23.85" hidden="false" customHeight="false" outlineLevel="0" collapsed="false">
      <c r="A106" s="2" t="s">
        <v>436</v>
      </c>
      <c r="B106" s="2" t="n">
        <v>243</v>
      </c>
      <c r="C106" s="2" t="s">
        <v>183</v>
      </c>
      <c r="D106" s="2" t="s">
        <v>153</v>
      </c>
      <c r="E106" s="2" t="s">
        <v>56</v>
      </c>
      <c r="F106" s="2" t="s">
        <v>172</v>
      </c>
      <c r="G106" s="2" t="s">
        <v>184</v>
      </c>
      <c r="H106" s="2" t="s">
        <v>175</v>
      </c>
      <c r="I106" s="2" t="s">
        <v>156</v>
      </c>
      <c r="J106" s="2" t="s">
        <v>432</v>
      </c>
      <c r="K106" s="2" t="n">
        <v>983</v>
      </c>
      <c r="L106" s="4"/>
      <c r="M106" s="4"/>
      <c r="N106" s="4"/>
      <c r="O106" s="2" t="s">
        <v>437</v>
      </c>
      <c r="P106" s="4" t="n">
        <v>46233</v>
      </c>
      <c r="Q106" s="2" t="s">
        <v>433</v>
      </c>
      <c r="R106" s="4" t="n">
        <v>46217</v>
      </c>
      <c r="S106" s="2"/>
      <c r="T106" s="2" t="n">
        <v>983</v>
      </c>
    </row>
    <row r="107" customFormat="false" ht="23.85" hidden="false" customHeight="false" outlineLevel="0" collapsed="false">
      <c r="A107" s="2" t="s">
        <v>436</v>
      </c>
      <c r="B107" s="2" t="n">
        <v>248</v>
      </c>
      <c r="C107" s="2" t="s">
        <v>185</v>
      </c>
      <c r="D107" s="2" t="s">
        <v>153</v>
      </c>
      <c r="E107" s="2" t="s">
        <v>56</v>
      </c>
      <c r="F107" s="2" t="s">
        <v>172</v>
      </c>
      <c r="G107" s="2" t="s">
        <v>186</v>
      </c>
      <c r="H107" s="2" t="s">
        <v>175</v>
      </c>
      <c r="I107" s="2" t="s">
        <v>187</v>
      </c>
      <c r="J107" s="2" t="s">
        <v>432</v>
      </c>
      <c r="K107" s="2" t="n">
        <v>1470</v>
      </c>
      <c r="L107" s="4"/>
      <c r="M107" s="4"/>
      <c r="N107" s="4"/>
      <c r="O107" s="2" t="s">
        <v>437</v>
      </c>
      <c r="P107" s="4" t="n">
        <v>46233</v>
      </c>
      <c r="Q107" s="2" t="s">
        <v>433</v>
      </c>
      <c r="R107" s="4" t="n">
        <v>46217</v>
      </c>
      <c r="S107" s="2"/>
      <c r="T107" s="2" t="n">
        <v>1470</v>
      </c>
    </row>
    <row r="108" customFormat="false" ht="23.85" hidden="false" customHeight="false" outlineLevel="0" collapsed="false">
      <c r="A108" s="2" t="s">
        <v>436</v>
      </c>
      <c r="B108" s="2" t="n">
        <v>253</v>
      </c>
      <c r="C108" s="2" t="s">
        <v>188</v>
      </c>
      <c r="D108" s="2" t="s">
        <v>153</v>
      </c>
      <c r="E108" s="2" t="s">
        <v>56</v>
      </c>
      <c r="F108" s="2" t="s">
        <v>172</v>
      </c>
      <c r="G108" s="2" t="s">
        <v>189</v>
      </c>
      <c r="H108" s="2" t="s">
        <v>175</v>
      </c>
      <c r="I108" s="2" t="s">
        <v>187</v>
      </c>
      <c r="J108" s="2" t="s">
        <v>432</v>
      </c>
      <c r="K108" s="2" t="n">
        <v>9</v>
      </c>
      <c r="L108" s="4"/>
      <c r="M108" s="4"/>
      <c r="N108" s="4"/>
      <c r="O108" s="2" t="s">
        <v>437</v>
      </c>
      <c r="P108" s="4" t="n">
        <v>46233</v>
      </c>
      <c r="Q108" s="2" t="s">
        <v>433</v>
      </c>
      <c r="R108" s="4" t="n">
        <v>46217</v>
      </c>
      <c r="S108" s="2"/>
      <c r="T108" s="2" t="n">
        <v>9</v>
      </c>
    </row>
    <row r="109" customFormat="false" ht="23.85" hidden="false" customHeight="false" outlineLevel="0" collapsed="false">
      <c r="A109" s="2" t="s">
        <v>436</v>
      </c>
      <c r="B109" s="2" t="n">
        <v>258</v>
      </c>
      <c r="C109" s="2" t="s">
        <v>190</v>
      </c>
      <c r="D109" s="2" t="s">
        <v>153</v>
      </c>
      <c r="E109" s="2" t="s">
        <v>56</v>
      </c>
      <c r="F109" s="2" t="s">
        <v>172</v>
      </c>
      <c r="G109" s="2" t="s">
        <v>191</v>
      </c>
      <c r="H109" s="2" t="s">
        <v>175</v>
      </c>
      <c r="I109" s="2" t="s">
        <v>187</v>
      </c>
      <c r="J109" s="2" t="s">
        <v>432</v>
      </c>
      <c r="K109" s="2" t="n">
        <v>1950</v>
      </c>
      <c r="L109" s="4"/>
      <c r="M109" s="4"/>
      <c r="N109" s="4"/>
      <c r="O109" s="2" t="s">
        <v>437</v>
      </c>
      <c r="P109" s="4" t="n">
        <v>46233</v>
      </c>
      <c r="Q109" s="2" t="s">
        <v>433</v>
      </c>
      <c r="R109" s="4" t="n">
        <v>46217</v>
      </c>
      <c r="S109" s="2"/>
      <c r="T109" s="2" t="n">
        <v>1950</v>
      </c>
    </row>
    <row r="110" customFormat="false" ht="23.85" hidden="false" customHeight="false" outlineLevel="0" collapsed="false">
      <c r="A110" s="2" t="s">
        <v>436</v>
      </c>
      <c r="B110" s="2" t="n">
        <v>263</v>
      </c>
      <c r="C110" s="2" t="s">
        <v>192</v>
      </c>
      <c r="D110" s="2" t="s">
        <v>153</v>
      </c>
      <c r="E110" s="2" t="s">
        <v>56</v>
      </c>
      <c r="F110" s="2" t="s">
        <v>154</v>
      </c>
      <c r="G110" s="2" t="s">
        <v>193</v>
      </c>
      <c r="H110" s="2" t="s">
        <v>157</v>
      </c>
      <c r="I110" s="2" t="s">
        <v>194</v>
      </c>
      <c r="J110" s="2" t="s">
        <v>432</v>
      </c>
      <c r="K110" s="2" t="n">
        <v>365</v>
      </c>
      <c r="L110" s="4"/>
      <c r="M110" s="4"/>
      <c r="N110" s="4"/>
      <c r="O110" s="2" t="s">
        <v>437</v>
      </c>
      <c r="P110" s="4" t="n">
        <v>46233</v>
      </c>
      <c r="Q110" s="2" t="s">
        <v>433</v>
      </c>
      <c r="R110" s="4" t="n">
        <v>46217</v>
      </c>
      <c r="S110" s="2"/>
      <c r="T110" s="2" t="n">
        <v>365</v>
      </c>
    </row>
    <row r="111" customFormat="false" ht="23.85" hidden="false" customHeight="false" outlineLevel="0" collapsed="false">
      <c r="A111" s="2" t="s">
        <v>436</v>
      </c>
      <c r="B111" s="2" t="n">
        <v>268</v>
      </c>
      <c r="C111" s="2" t="s">
        <v>195</v>
      </c>
      <c r="D111" s="2" t="s">
        <v>153</v>
      </c>
      <c r="E111" s="2" t="s">
        <v>56</v>
      </c>
      <c r="F111" s="2" t="s">
        <v>154</v>
      </c>
      <c r="G111" s="2" t="s">
        <v>196</v>
      </c>
      <c r="H111" s="2" t="s">
        <v>157</v>
      </c>
      <c r="I111" s="2" t="s">
        <v>94</v>
      </c>
      <c r="J111" s="2" t="s">
        <v>432</v>
      </c>
      <c r="K111" s="2" t="n">
        <v>419</v>
      </c>
      <c r="L111" s="4"/>
      <c r="M111" s="4"/>
      <c r="N111" s="4"/>
      <c r="O111" s="2" t="s">
        <v>437</v>
      </c>
      <c r="P111" s="4" t="n">
        <v>46233</v>
      </c>
      <c r="Q111" s="2" t="s">
        <v>433</v>
      </c>
      <c r="R111" s="4" t="n">
        <v>46217</v>
      </c>
      <c r="S111" s="2"/>
      <c r="T111" s="2" t="n">
        <v>419</v>
      </c>
    </row>
    <row r="112" customFormat="false" ht="23.85" hidden="false" customHeight="false" outlineLevel="0" collapsed="false">
      <c r="A112" s="2" t="s">
        <v>436</v>
      </c>
      <c r="B112" s="2" t="n">
        <v>273</v>
      </c>
      <c r="C112" s="2" t="s">
        <v>197</v>
      </c>
      <c r="D112" s="2" t="s">
        <v>153</v>
      </c>
      <c r="E112" s="2" t="s">
        <v>56</v>
      </c>
      <c r="F112" s="2" t="s">
        <v>154</v>
      </c>
      <c r="G112" s="2" t="s">
        <v>198</v>
      </c>
      <c r="H112" s="2" t="s">
        <v>157</v>
      </c>
      <c r="I112" s="2" t="s">
        <v>94</v>
      </c>
      <c r="J112" s="2" t="s">
        <v>432</v>
      </c>
      <c r="K112" s="2" t="n">
        <v>190</v>
      </c>
      <c r="L112" s="4"/>
      <c r="M112" s="4"/>
      <c r="N112" s="4"/>
      <c r="O112" s="2" t="s">
        <v>437</v>
      </c>
      <c r="P112" s="4" t="n">
        <v>46233</v>
      </c>
      <c r="Q112" s="2" t="s">
        <v>433</v>
      </c>
      <c r="R112" s="4" t="n">
        <v>46217</v>
      </c>
      <c r="S112" s="2"/>
      <c r="T112" s="2" t="n">
        <v>190</v>
      </c>
    </row>
    <row r="113" customFormat="false" ht="23.85" hidden="false" customHeight="false" outlineLevel="0" collapsed="false">
      <c r="A113" s="2" t="s">
        <v>436</v>
      </c>
      <c r="B113" s="2" t="n">
        <v>278</v>
      </c>
      <c r="C113" s="2" t="s">
        <v>199</v>
      </c>
      <c r="D113" s="2" t="s">
        <v>153</v>
      </c>
      <c r="E113" s="2" t="s">
        <v>56</v>
      </c>
      <c r="F113" s="2" t="s">
        <v>154</v>
      </c>
      <c r="G113" s="2" t="s">
        <v>200</v>
      </c>
      <c r="H113" s="2" t="s">
        <v>157</v>
      </c>
      <c r="I113" s="2" t="s">
        <v>116</v>
      </c>
      <c r="J113" s="2" t="s">
        <v>432</v>
      </c>
      <c r="K113" s="2" t="n">
        <v>690</v>
      </c>
      <c r="L113" s="4"/>
      <c r="M113" s="4"/>
      <c r="N113" s="4"/>
      <c r="O113" s="2" t="s">
        <v>437</v>
      </c>
      <c r="P113" s="4" t="n">
        <v>46233</v>
      </c>
      <c r="Q113" s="2" t="s">
        <v>433</v>
      </c>
      <c r="R113" s="4" t="n">
        <v>46217</v>
      </c>
      <c r="S113" s="2"/>
      <c r="T113" s="2" t="n">
        <v>690</v>
      </c>
    </row>
    <row r="114" customFormat="false" ht="23.85" hidden="false" customHeight="false" outlineLevel="0" collapsed="false">
      <c r="A114" s="2" t="s">
        <v>436</v>
      </c>
      <c r="B114" s="2" t="n">
        <v>283</v>
      </c>
      <c r="C114" s="2" t="s">
        <v>201</v>
      </c>
      <c r="D114" s="2" t="s">
        <v>153</v>
      </c>
      <c r="E114" s="2" t="s">
        <v>56</v>
      </c>
      <c r="F114" s="2" t="s">
        <v>154</v>
      </c>
      <c r="G114" s="2" t="s">
        <v>202</v>
      </c>
      <c r="H114" s="2" t="s">
        <v>157</v>
      </c>
      <c r="I114" s="2" t="s">
        <v>116</v>
      </c>
      <c r="J114" s="2" t="s">
        <v>432</v>
      </c>
      <c r="K114" s="2" t="n">
        <v>1884</v>
      </c>
      <c r="L114" s="4"/>
      <c r="M114" s="4"/>
      <c r="N114" s="4"/>
      <c r="O114" s="2" t="s">
        <v>437</v>
      </c>
      <c r="P114" s="4" t="n">
        <v>46233</v>
      </c>
      <c r="Q114" s="2" t="s">
        <v>433</v>
      </c>
      <c r="R114" s="4" t="n">
        <v>46217</v>
      </c>
      <c r="S114" s="2"/>
      <c r="T114" s="2" t="n">
        <v>1884</v>
      </c>
    </row>
    <row r="115" customFormat="false" ht="23.85" hidden="false" customHeight="false" outlineLevel="0" collapsed="false">
      <c r="A115" s="2" t="s">
        <v>436</v>
      </c>
      <c r="B115" s="2" t="n">
        <v>288</v>
      </c>
      <c r="C115" s="2" t="s">
        <v>203</v>
      </c>
      <c r="D115" s="2" t="s">
        <v>153</v>
      </c>
      <c r="E115" s="2" t="s">
        <v>56</v>
      </c>
      <c r="F115" s="2" t="s">
        <v>164</v>
      </c>
      <c r="G115" s="2" t="s">
        <v>204</v>
      </c>
      <c r="H115" s="2" t="s">
        <v>166</v>
      </c>
      <c r="I115" s="2" t="s">
        <v>69</v>
      </c>
      <c r="J115" s="2" t="s">
        <v>432</v>
      </c>
      <c r="K115" s="2" t="n">
        <v>315</v>
      </c>
      <c r="L115" s="4"/>
      <c r="M115" s="4"/>
      <c r="N115" s="4"/>
      <c r="O115" s="2" t="s">
        <v>437</v>
      </c>
      <c r="P115" s="4" t="n">
        <v>46233</v>
      </c>
      <c r="Q115" s="2" t="s">
        <v>433</v>
      </c>
      <c r="R115" s="4" t="n">
        <v>46217</v>
      </c>
      <c r="S115" s="2"/>
      <c r="T115" s="2" t="n">
        <v>315</v>
      </c>
    </row>
    <row r="116" customFormat="false" ht="23.85" hidden="false" customHeight="false" outlineLevel="0" collapsed="false">
      <c r="A116" s="2" t="s">
        <v>436</v>
      </c>
      <c r="B116" s="2" t="n">
        <v>293</v>
      </c>
      <c r="C116" s="2" t="s">
        <v>205</v>
      </c>
      <c r="D116" s="2" t="s">
        <v>153</v>
      </c>
      <c r="E116" s="2" t="s">
        <v>56</v>
      </c>
      <c r="F116" s="2" t="s">
        <v>164</v>
      </c>
      <c r="G116" s="2" t="s">
        <v>206</v>
      </c>
      <c r="H116" s="2" t="s">
        <v>166</v>
      </c>
      <c r="I116" s="2" t="s">
        <v>69</v>
      </c>
      <c r="J116" s="2" t="s">
        <v>432</v>
      </c>
      <c r="K116" s="2" t="n">
        <v>9</v>
      </c>
      <c r="L116" s="4"/>
      <c r="M116" s="4"/>
      <c r="N116" s="4"/>
      <c r="O116" s="2" t="s">
        <v>437</v>
      </c>
      <c r="P116" s="4" t="n">
        <v>46233</v>
      </c>
      <c r="Q116" s="2" t="s">
        <v>433</v>
      </c>
      <c r="R116" s="4" t="n">
        <v>46217</v>
      </c>
      <c r="S116" s="2"/>
      <c r="T116" s="2" t="n">
        <v>9</v>
      </c>
    </row>
    <row r="117" customFormat="false" ht="23.85" hidden="false" customHeight="false" outlineLevel="0" collapsed="false">
      <c r="A117" s="2" t="s">
        <v>436</v>
      </c>
      <c r="B117" s="2" t="n">
        <v>298</v>
      </c>
      <c r="C117" s="2" t="s">
        <v>207</v>
      </c>
      <c r="D117" s="2" t="s">
        <v>153</v>
      </c>
      <c r="E117" s="2" t="s">
        <v>56</v>
      </c>
      <c r="F117" s="2" t="s">
        <v>164</v>
      </c>
      <c r="G117" s="2" t="s">
        <v>208</v>
      </c>
      <c r="H117" s="2" t="s">
        <v>166</v>
      </c>
      <c r="I117" s="2" t="s">
        <v>69</v>
      </c>
      <c r="J117" s="2" t="s">
        <v>432</v>
      </c>
      <c r="K117" s="2" t="n">
        <v>2041</v>
      </c>
      <c r="L117" s="4"/>
      <c r="M117" s="4"/>
      <c r="N117" s="4"/>
      <c r="O117" s="2" t="s">
        <v>437</v>
      </c>
      <c r="P117" s="4" t="n">
        <v>46233</v>
      </c>
      <c r="Q117" s="2" t="s">
        <v>433</v>
      </c>
      <c r="R117" s="4" t="n">
        <v>46217</v>
      </c>
      <c r="S117" s="2"/>
      <c r="T117" s="2" t="n">
        <v>2041</v>
      </c>
    </row>
    <row r="118" customFormat="false" ht="23.85" hidden="false" customHeight="false" outlineLevel="0" collapsed="false">
      <c r="A118" s="2" t="s">
        <v>436</v>
      </c>
      <c r="B118" s="2" t="n">
        <v>303</v>
      </c>
      <c r="C118" s="2" t="s">
        <v>209</v>
      </c>
      <c r="D118" s="2" t="s">
        <v>153</v>
      </c>
      <c r="E118" s="2" t="s">
        <v>56</v>
      </c>
      <c r="F118" s="2" t="s">
        <v>154</v>
      </c>
      <c r="G118" s="2" t="s">
        <v>210</v>
      </c>
      <c r="H118" s="2" t="s">
        <v>157</v>
      </c>
      <c r="I118" s="2" t="s">
        <v>69</v>
      </c>
      <c r="J118" s="2" t="s">
        <v>432</v>
      </c>
      <c r="K118" s="2" t="n">
        <v>418</v>
      </c>
      <c r="L118" s="4"/>
      <c r="M118" s="4"/>
      <c r="N118" s="4"/>
      <c r="O118" s="2" t="s">
        <v>437</v>
      </c>
      <c r="P118" s="4" t="n">
        <v>46233</v>
      </c>
      <c r="Q118" s="2" t="s">
        <v>433</v>
      </c>
      <c r="R118" s="4" t="n">
        <v>46217</v>
      </c>
      <c r="S118" s="2"/>
      <c r="T118" s="2" t="n">
        <v>418</v>
      </c>
    </row>
    <row r="119" customFormat="false" ht="23.85" hidden="false" customHeight="false" outlineLevel="0" collapsed="false">
      <c r="A119" s="2" t="s">
        <v>436</v>
      </c>
      <c r="B119" s="2" t="n">
        <v>308</v>
      </c>
      <c r="C119" s="2" t="s">
        <v>211</v>
      </c>
      <c r="D119" s="2" t="s">
        <v>153</v>
      </c>
      <c r="E119" s="2" t="s">
        <v>56</v>
      </c>
      <c r="F119" s="2" t="s">
        <v>154</v>
      </c>
      <c r="G119" s="2" t="s">
        <v>212</v>
      </c>
      <c r="H119" s="2" t="s">
        <v>157</v>
      </c>
      <c r="I119" s="2" t="s">
        <v>69</v>
      </c>
      <c r="J119" s="2" t="s">
        <v>432</v>
      </c>
      <c r="K119" s="2" t="n">
        <v>9</v>
      </c>
      <c r="L119" s="4"/>
      <c r="M119" s="4"/>
      <c r="N119" s="4"/>
      <c r="O119" s="2" t="s">
        <v>437</v>
      </c>
      <c r="P119" s="4" t="n">
        <v>46233</v>
      </c>
      <c r="Q119" s="2" t="s">
        <v>433</v>
      </c>
      <c r="R119" s="4" t="n">
        <v>46217</v>
      </c>
      <c r="S119" s="2"/>
      <c r="T119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5"/>
  </cols>
  <sheetData>
    <row r="1" customFormat="false" ht="33.75" hidden="false" customHeight="true" outlineLevel="0" collapsed="false">
      <c r="A1" s="1" t="s">
        <v>438</v>
      </c>
      <c r="B1" s="1" t="s">
        <v>439</v>
      </c>
    </row>
    <row r="2" customFormat="false" ht="43.5" hidden="false" customHeight="true" outlineLevel="0" collapsed="false">
      <c r="A2" s="2" t="s">
        <v>36</v>
      </c>
      <c r="B2" s="2" t="s">
        <v>440</v>
      </c>
    </row>
    <row r="3" customFormat="false" ht="43.5" hidden="false" customHeight="true" outlineLevel="0" collapsed="false">
      <c r="A3" s="2" t="s">
        <v>37</v>
      </c>
      <c r="B3" s="2" t="s">
        <v>441</v>
      </c>
    </row>
    <row r="4" customFormat="false" ht="43.5" hidden="false" customHeight="true" outlineLevel="0" collapsed="false">
      <c r="A4" s="2" t="s">
        <v>442</v>
      </c>
      <c r="B4" s="2" t="s">
        <v>443</v>
      </c>
    </row>
    <row r="5" customFormat="false" ht="43.5" hidden="false" customHeight="true" outlineLevel="0" collapsed="false">
      <c r="A5" s="2" t="s">
        <v>66</v>
      </c>
      <c r="B5" s="2" t="s">
        <v>444</v>
      </c>
    </row>
    <row r="6" customFormat="false" ht="43.5" hidden="false" customHeight="true" outlineLevel="0" collapsed="false">
      <c r="A6" s="2" t="s">
        <v>445</v>
      </c>
      <c r="B6" s="2" t="s">
        <v>446</v>
      </c>
    </row>
    <row r="7" customFormat="false" ht="43.5" hidden="false" customHeight="true" outlineLevel="0" collapsed="false">
      <c r="A7" s="2" t="s">
        <v>447</v>
      </c>
      <c r="B7" s="2" t="s">
        <v>448</v>
      </c>
    </row>
    <row r="8" customFormat="false" ht="43.5" hidden="false" customHeight="true" outlineLevel="0" collapsed="false">
      <c r="A8" s="2" t="s">
        <v>449</v>
      </c>
      <c r="B8" s="2" t="s">
        <v>450</v>
      </c>
    </row>
    <row r="9" customFormat="false" ht="43.5" hidden="false" customHeight="true" outlineLevel="0" collapsed="false">
      <c r="A9" s="2" t="s">
        <v>451</v>
      </c>
      <c r="B9" s="2" t="s">
        <v>452</v>
      </c>
    </row>
    <row r="10" customFormat="false" ht="43.5" hidden="false" customHeight="true" outlineLevel="0" collapsed="false">
      <c r="A10" s="2" t="s">
        <v>453</v>
      </c>
      <c r="B10" s="2" t="s">
        <v>454</v>
      </c>
    </row>
    <row r="11" customFormat="false" ht="43.5" hidden="false" customHeight="true" outlineLevel="0" collapsed="false">
      <c r="A11" s="2" t="s">
        <v>52</v>
      </c>
      <c r="B11" s="2" t="s">
        <v>455</v>
      </c>
    </row>
    <row r="12" customFormat="false" ht="43.5" hidden="false" customHeight="true" outlineLevel="0" collapsed="false">
      <c r="A12" s="2" t="s">
        <v>456</v>
      </c>
      <c r="B12" s="2" t="s">
        <v>457</v>
      </c>
    </row>
    <row r="13" customFormat="false" ht="43.5" hidden="false" customHeight="true" outlineLevel="0" collapsed="false">
      <c r="A13" s="2" t="s">
        <v>458</v>
      </c>
      <c r="B13" s="2" t="s">
        <v>459</v>
      </c>
    </row>
    <row r="14" customFormat="false" ht="43.5" hidden="false" customHeight="true" outlineLevel="0" collapsed="false">
      <c r="A14" s="2" t="s">
        <v>460</v>
      </c>
      <c r="B14" s="2" t="s">
        <v>461</v>
      </c>
    </row>
    <row r="15" customFormat="false" ht="43.5" hidden="false" customHeight="true" outlineLevel="0" collapsed="false">
      <c r="A15" s="2" t="s">
        <v>462</v>
      </c>
      <c r="B15" s="2" t="s">
        <v>463</v>
      </c>
    </row>
    <row r="16" customFormat="false" ht="43.5" hidden="false" customHeight="true" outlineLevel="0" collapsed="false">
      <c r="A16" s="2" t="s">
        <v>464</v>
      </c>
      <c r="B16" s="2" t="s">
        <v>465</v>
      </c>
    </row>
    <row r="17" customFormat="false" ht="43.5" hidden="false" customHeight="true" outlineLevel="0" collapsed="false">
      <c r="A17" s="2" t="s">
        <v>466</v>
      </c>
      <c r="B17" s="2" t="s">
        <v>467</v>
      </c>
    </row>
    <row r="18" customFormat="false" ht="43.5" hidden="false" customHeight="true" outlineLevel="0" collapsed="false">
      <c r="A18" s="2" t="s">
        <v>468</v>
      </c>
      <c r="B18" s="2" t="s">
        <v>469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2026-10-21T02:25:13Z</dcterms:created>
  <dc:creator>openpyxl</dc:creator>
  <dc:description/>
  <dc:language>en-US</dc:language>
  <cp:lastModifiedBy/>
  <dcterms:modified xsi:type="dcterms:W3CDTF">2026-10-21T02:25:15Z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